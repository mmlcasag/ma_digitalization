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b-arquivos\Projetos\Projetos_2020\Corporativo\P\Petrobras\ARM\2020_08_24_RIO_GIDBE\BackUp\"/>
    </mc:Choice>
  </mc:AlternateContent>
  <bookViews>
    <workbookView xWindow="-120" yWindow="-120" windowWidth="20730" windowHeight="11160"/>
  </bookViews>
  <sheets>
    <sheet name="LISTA DOS ITENS" sheetId="1" r:id="rId1"/>
    <sheet name="SOBRE_EMP" sheetId="4" r:id="rId2"/>
    <sheet name="RESUMO - LOTES E VMA" sheetId="2" r:id="rId3"/>
  </sheets>
  <externalReferences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3" i="2"/>
  <c r="C1" i="4" l="1"/>
  <c r="D1" i="4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2" i="1"/>
  <c r="P3" i="1"/>
  <c r="S3" i="1" s="1"/>
  <c r="P4" i="1"/>
  <c r="P5" i="1"/>
  <c r="P6" i="1"/>
  <c r="P7" i="1"/>
  <c r="S7" i="1" s="1"/>
  <c r="P8" i="1"/>
  <c r="P9" i="1"/>
  <c r="P10" i="1"/>
  <c r="P11" i="1"/>
  <c r="S11" i="1" s="1"/>
  <c r="P12" i="1"/>
  <c r="P13" i="1"/>
  <c r="P14" i="1"/>
  <c r="P15" i="1"/>
  <c r="S15" i="1" s="1"/>
  <c r="P16" i="1"/>
  <c r="P17" i="1"/>
  <c r="P18" i="1"/>
  <c r="P19" i="1"/>
  <c r="S19" i="1" s="1"/>
  <c r="P20" i="1"/>
  <c r="P21" i="1"/>
  <c r="P22" i="1"/>
  <c r="P23" i="1"/>
  <c r="S23" i="1" s="1"/>
  <c r="P24" i="1"/>
  <c r="P25" i="1"/>
  <c r="P26" i="1"/>
  <c r="P27" i="1"/>
  <c r="S27" i="1" s="1"/>
  <c r="P28" i="1"/>
  <c r="P29" i="1"/>
  <c r="P30" i="1"/>
  <c r="P31" i="1"/>
  <c r="S31" i="1" s="1"/>
  <c r="P32" i="1"/>
  <c r="P33" i="1"/>
  <c r="P34" i="1"/>
  <c r="P35" i="1"/>
  <c r="S35" i="1" s="1"/>
  <c r="P36" i="1"/>
  <c r="P37" i="1"/>
  <c r="P38" i="1"/>
  <c r="P39" i="1"/>
  <c r="S39" i="1" s="1"/>
  <c r="P40" i="1"/>
  <c r="P41" i="1"/>
  <c r="P42" i="1"/>
  <c r="P43" i="1"/>
  <c r="S43" i="1" s="1"/>
  <c r="P44" i="1"/>
  <c r="S44" i="1" s="1"/>
  <c r="P45" i="1"/>
  <c r="P46" i="1"/>
  <c r="P47" i="1"/>
  <c r="S47" i="1" s="1"/>
  <c r="P48" i="1"/>
  <c r="S48" i="1" s="1"/>
  <c r="P49" i="1"/>
  <c r="P50" i="1"/>
  <c r="P51" i="1"/>
  <c r="S51" i="1" s="1"/>
  <c r="P52" i="1"/>
  <c r="S52" i="1" s="1"/>
  <c r="P53" i="1"/>
  <c r="P54" i="1"/>
  <c r="P55" i="1"/>
  <c r="S55" i="1" s="1"/>
  <c r="P56" i="1"/>
  <c r="S56" i="1" s="1"/>
  <c r="P57" i="1"/>
  <c r="P58" i="1"/>
  <c r="P59" i="1"/>
  <c r="S59" i="1" s="1"/>
  <c r="P60" i="1"/>
  <c r="S60" i="1" s="1"/>
  <c r="P61" i="1"/>
  <c r="P62" i="1"/>
  <c r="P63" i="1"/>
  <c r="S63" i="1" s="1"/>
  <c r="P64" i="1"/>
  <c r="S64" i="1" s="1"/>
  <c r="P65" i="1"/>
  <c r="P66" i="1"/>
  <c r="P67" i="1"/>
  <c r="S67" i="1" s="1"/>
  <c r="P68" i="1"/>
  <c r="S68" i="1" s="1"/>
  <c r="P69" i="1"/>
  <c r="P70" i="1"/>
  <c r="P71" i="1"/>
  <c r="S71" i="1" s="1"/>
  <c r="P72" i="1"/>
  <c r="S72" i="1" s="1"/>
  <c r="P73" i="1"/>
  <c r="P74" i="1"/>
  <c r="P75" i="1"/>
  <c r="S75" i="1" s="1"/>
  <c r="P76" i="1"/>
  <c r="S76" i="1" s="1"/>
  <c r="P77" i="1"/>
  <c r="P78" i="1"/>
  <c r="P79" i="1"/>
  <c r="S79" i="1" s="1"/>
  <c r="P80" i="1"/>
  <c r="S80" i="1" s="1"/>
  <c r="P81" i="1"/>
  <c r="P82" i="1"/>
  <c r="P83" i="1"/>
  <c r="S83" i="1" s="1"/>
  <c r="P84" i="1"/>
  <c r="S84" i="1" s="1"/>
  <c r="P85" i="1"/>
  <c r="P86" i="1"/>
  <c r="P87" i="1"/>
  <c r="S87" i="1" s="1"/>
  <c r="P88" i="1"/>
  <c r="S88" i="1" s="1"/>
  <c r="P89" i="1"/>
  <c r="P90" i="1"/>
  <c r="P91" i="1"/>
  <c r="S91" i="1" s="1"/>
  <c r="P92" i="1"/>
  <c r="S92" i="1" s="1"/>
  <c r="P93" i="1"/>
  <c r="P94" i="1"/>
  <c r="P95" i="1"/>
  <c r="S95" i="1" s="1"/>
  <c r="P96" i="1"/>
  <c r="S96" i="1" s="1"/>
  <c r="P97" i="1"/>
  <c r="P98" i="1"/>
  <c r="P99" i="1"/>
  <c r="S99" i="1" s="1"/>
  <c r="P100" i="1"/>
  <c r="S100" i="1" s="1"/>
  <c r="P101" i="1"/>
  <c r="P102" i="1"/>
  <c r="P103" i="1"/>
  <c r="S103" i="1" s="1"/>
  <c r="P104" i="1"/>
  <c r="S104" i="1" s="1"/>
  <c r="P105" i="1"/>
  <c r="P106" i="1"/>
  <c r="P107" i="1"/>
  <c r="S107" i="1" s="1"/>
  <c r="P108" i="1"/>
  <c r="S108" i="1" s="1"/>
  <c r="P109" i="1"/>
  <c r="P110" i="1"/>
  <c r="P111" i="1"/>
  <c r="S111" i="1" s="1"/>
  <c r="P112" i="1"/>
  <c r="S112" i="1" s="1"/>
  <c r="P113" i="1"/>
  <c r="P114" i="1"/>
  <c r="P115" i="1"/>
  <c r="S115" i="1" s="1"/>
  <c r="P116" i="1"/>
  <c r="S116" i="1" s="1"/>
  <c r="P117" i="1"/>
  <c r="P118" i="1"/>
  <c r="P119" i="1"/>
  <c r="S119" i="1" s="1"/>
  <c r="P120" i="1"/>
  <c r="S120" i="1" s="1"/>
  <c r="P121" i="1"/>
  <c r="P122" i="1"/>
  <c r="P123" i="1"/>
  <c r="S123" i="1" s="1"/>
  <c r="P124" i="1"/>
  <c r="S124" i="1" s="1"/>
  <c r="P125" i="1"/>
  <c r="P126" i="1"/>
  <c r="P127" i="1"/>
  <c r="S127" i="1" s="1"/>
  <c r="P128" i="1"/>
  <c r="S128" i="1" s="1"/>
  <c r="P129" i="1"/>
  <c r="P130" i="1"/>
  <c r="P131" i="1"/>
  <c r="S131" i="1" s="1"/>
  <c r="P132" i="1"/>
  <c r="S132" i="1" s="1"/>
  <c r="P133" i="1"/>
  <c r="P134" i="1"/>
  <c r="P135" i="1"/>
  <c r="S135" i="1" s="1"/>
  <c r="P136" i="1"/>
  <c r="P137" i="1"/>
  <c r="P138" i="1"/>
  <c r="P139" i="1"/>
  <c r="S139" i="1" s="1"/>
  <c r="P140" i="1"/>
  <c r="P141" i="1"/>
  <c r="P142" i="1"/>
  <c r="P143" i="1"/>
  <c r="S143" i="1" s="1"/>
  <c r="P144" i="1"/>
  <c r="P145" i="1"/>
  <c r="P146" i="1"/>
  <c r="P147" i="1"/>
  <c r="S147" i="1" s="1"/>
  <c r="P148" i="1"/>
  <c r="P149" i="1"/>
  <c r="P150" i="1"/>
  <c r="P151" i="1"/>
  <c r="S151" i="1" s="1"/>
  <c r="P152" i="1"/>
  <c r="P153" i="1"/>
  <c r="P154" i="1"/>
  <c r="P155" i="1"/>
  <c r="S155" i="1" s="1"/>
  <c r="P156" i="1"/>
  <c r="S156" i="1" s="1"/>
  <c r="P157" i="1"/>
  <c r="P158" i="1"/>
  <c r="P159" i="1"/>
  <c r="S159" i="1" s="1"/>
  <c r="P160" i="1"/>
  <c r="S160" i="1" s="1"/>
  <c r="P161" i="1"/>
  <c r="P162" i="1"/>
  <c r="P163" i="1"/>
  <c r="S163" i="1" s="1"/>
  <c r="P164" i="1"/>
  <c r="S164" i="1" s="1"/>
  <c r="P165" i="1"/>
  <c r="P166" i="1"/>
  <c r="P167" i="1"/>
  <c r="S167" i="1" s="1"/>
  <c r="P168" i="1"/>
  <c r="S168" i="1" s="1"/>
  <c r="P169" i="1"/>
  <c r="P170" i="1"/>
  <c r="P171" i="1"/>
  <c r="S171" i="1" s="1"/>
  <c r="P172" i="1"/>
  <c r="S172" i="1" s="1"/>
  <c r="P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S5" i="1"/>
  <c r="S13" i="1"/>
  <c r="S21" i="1"/>
  <c r="S29" i="1"/>
  <c r="S37" i="1"/>
  <c r="S45" i="1"/>
  <c r="S53" i="1"/>
  <c r="S61" i="1"/>
  <c r="S69" i="1"/>
  <c r="S77" i="1"/>
  <c r="S85" i="1"/>
  <c r="S93" i="1"/>
  <c r="S109" i="1"/>
  <c r="S125" i="1"/>
  <c r="S141" i="1"/>
  <c r="S157" i="1"/>
  <c r="S152" i="1" l="1"/>
  <c r="S148" i="1"/>
  <c r="S144" i="1"/>
  <c r="S140" i="1"/>
  <c r="S136" i="1"/>
  <c r="S40" i="1"/>
  <c r="S36" i="1"/>
  <c r="S32" i="1"/>
  <c r="S28" i="1"/>
  <c r="S24" i="1"/>
  <c r="S20" i="1"/>
  <c r="S16" i="1"/>
  <c r="S12" i="1"/>
  <c r="S8" i="1"/>
  <c r="S4" i="1"/>
  <c r="S169" i="1"/>
  <c r="S165" i="1"/>
  <c r="S161" i="1"/>
  <c r="S153" i="1"/>
  <c r="S149" i="1"/>
  <c r="S145" i="1"/>
  <c r="S137" i="1"/>
  <c r="S133" i="1"/>
  <c r="S129" i="1"/>
  <c r="S121" i="1"/>
  <c r="S117" i="1"/>
  <c r="S113" i="1"/>
  <c r="S105" i="1"/>
  <c r="S101" i="1"/>
  <c r="S97" i="1"/>
  <c r="S89" i="1"/>
  <c r="S81" i="1"/>
  <c r="S73" i="1"/>
  <c r="S65" i="1"/>
  <c r="S57" i="1"/>
  <c r="S49" i="1"/>
  <c r="S41" i="1"/>
  <c r="S33" i="1"/>
  <c r="S25" i="1"/>
  <c r="S17" i="1"/>
  <c r="S9" i="1"/>
  <c r="S26" i="1"/>
  <c r="S22" i="1"/>
  <c r="S18" i="1"/>
  <c r="S14" i="1"/>
  <c r="S10" i="1"/>
  <c r="S6" i="1"/>
  <c r="S170" i="1"/>
  <c r="S166" i="1"/>
  <c r="S162" i="1"/>
  <c r="S158" i="1"/>
  <c r="S154" i="1"/>
  <c r="S150" i="1"/>
  <c r="S146" i="1"/>
  <c r="S142" i="1"/>
  <c r="S138" i="1"/>
  <c r="S134" i="1"/>
  <c r="S130" i="1"/>
  <c r="S126" i="1"/>
  <c r="S122" i="1"/>
  <c r="S118" i="1"/>
  <c r="S114" i="1"/>
  <c r="S110" i="1"/>
  <c r="S106" i="1"/>
  <c r="S102" i="1"/>
  <c r="S98" i="1"/>
  <c r="S94" i="1"/>
  <c r="S90" i="1"/>
  <c r="S86" i="1"/>
  <c r="S82" i="1"/>
  <c r="S78" i="1"/>
  <c r="S74" i="1"/>
  <c r="S70" i="1"/>
  <c r="S66" i="1"/>
  <c r="S62" i="1"/>
  <c r="S58" i="1"/>
  <c r="S54" i="1"/>
  <c r="S50" i="1"/>
  <c r="S46" i="1"/>
  <c r="S42" i="1"/>
  <c r="S38" i="1"/>
  <c r="S34" i="1"/>
  <c r="S30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F4" i="2"/>
  <c r="F5" i="2"/>
  <c r="F6" i="2"/>
  <c r="F7" i="2"/>
  <c r="F8" i="2"/>
  <c r="F9" i="2"/>
  <c r="F11" i="2"/>
  <c r="V61" i="1" s="1"/>
  <c r="W61" i="1" s="1"/>
  <c r="F12" i="2"/>
  <c r="F14" i="2"/>
  <c r="F15" i="2"/>
  <c r="F18" i="2"/>
  <c r="F23" i="2"/>
  <c r="F24" i="2"/>
  <c r="F3" i="2"/>
  <c r="V2" i="1" s="1"/>
  <c r="W2" i="1" s="1"/>
  <c r="G4" i="2"/>
  <c r="G5" i="2"/>
  <c r="G7" i="2"/>
  <c r="G9" i="2"/>
  <c r="G11" i="2"/>
  <c r="G12" i="2"/>
  <c r="G24" i="2"/>
  <c r="G3" i="2"/>
  <c r="H9" i="2"/>
  <c r="H12" i="2"/>
  <c r="H24" i="2"/>
  <c r="Z2" i="1"/>
  <c r="H5" i="2" l="1"/>
  <c r="H7" i="2"/>
  <c r="V17" i="1"/>
  <c r="W17" i="1" s="1"/>
  <c r="V66" i="1"/>
  <c r="W66" i="1" s="1"/>
  <c r="V24" i="1"/>
  <c r="W24" i="1" s="1"/>
  <c r="V3" i="1"/>
  <c r="W3" i="1" s="1"/>
  <c r="V87" i="1"/>
  <c r="W87" i="1" s="1"/>
  <c r="V6" i="1"/>
  <c r="W6" i="1" s="1"/>
  <c r="V62" i="1"/>
  <c r="W62" i="1" s="1"/>
  <c r="V5" i="1"/>
  <c r="W5" i="1" s="1"/>
  <c r="V4" i="1"/>
  <c r="W4" i="1" s="1"/>
  <c r="V65" i="1"/>
  <c r="W65" i="1" s="1"/>
  <c r="V64" i="1"/>
  <c r="W64" i="1" s="1"/>
  <c r="V71" i="1"/>
  <c r="W71" i="1" s="1"/>
  <c r="V73" i="1"/>
  <c r="W73" i="1" s="1"/>
  <c r="V70" i="1"/>
  <c r="W70" i="1" s="1"/>
  <c r="V72" i="1"/>
  <c r="W72" i="1" s="1"/>
  <c r="V43" i="1"/>
  <c r="W43" i="1" s="1"/>
  <c r="V69" i="1"/>
  <c r="W69" i="1" s="1"/>
  <c r="V68" i="1"/>
  <c r="W68" i="1" s="1"/>
  <c r="V27" i="1"/>
  <c r="W27" i="1" s="1"/>
  <c r="V31" i="1"/>
  <c r="W31" i="1" s="1"/>
  <c r="V35" i="1"/>
  <c r="W35" i="1" s="1"/>
  <c r="V25" i="1"/>
  <c r="W25" i="1" s="1"/>
  <c r="V29" i="1"/>
  <c r="W29" i="1" s="1"/>
  <c r="V33" i="1"/>
  <c r="W33" i="1" s="1"/>
  <c r="V37" i="1"/>
  <c r="W37" i="1" s="1"/>
  <c r="V26" i="1"/>
  <c r="W26" i="1" s="1"/>
  <c r="V34" i="1"/>
  <c r="W34" i="1" s="1"/>
  <c r="V28" i="1"/>
  <c r="W28" i="1" s="1"/>
  <c r="V36" i="1"/>
  <c r="W36" i="1" s="1"/>
  <c r="V30" i="1"/>
  <c r="W30" i="1" s="1"/>
  <c r="V38" i="1"/>
  <c r="W38" i="1" s="1"/>
  <c r="V32" i="1"/>
  <c r="W32" i="1" s="1"/>
  <c r="V7" i="1"/>
  <c r="W7" i="1" s="1"/>
  <c r="V11" i="1"/>
  <c r="W11" i="1" s="1"/>
  <c r="V15" i="1"/>
  <c r="W15" i="1" s="1"/>
  <c r="V9" i="1"/>
  <c r="W9" i="1" s="1"/>
  <c r="V13" i="1"/>
  <c r="W13" i="1" s="1"/>
  <c r="V10" i="1"/>
  <c r="W10" i="1" s="1"/>
  <c r="V12" i="1"/>
  <c r="W12" i="1" s="1"/>
  <c r="V14" i="1"/>
  <c r="W14" i="1" s="1"/>
  <c r="V8" i="1"/>
  <c r="W8" i="1" s="1"/>
  <c r="V16" i="1"/>
  <c r="W16" i="1" s="1"/>
  <c r="H11" i="2"/>
  <c r="H4" i="2"/>
  <c r="J4" i="2" s="1"/>
  <c r="G23" i="2"/>
  <c r="H23" i="2"/>
  <c r="J23" i="2" s="1"/>
  <c r="G18" i="2"/>
  <c r="H18" i="2"/>
  <c r="G8" i="2"/>
  <c r="H8" i="2"/>
  <c r="J8" i="2" s="1"/>
  <c r="H17" i="2"/>
  <c r="H10" i="2"/>
  <c r="F16" i="2"/>
  <c r="V39" i="1" s="1"/>
  <c r="W39" i="1" s="1"/>
  <c r="G14" i="2"/>
  <c r="H14" i="2"/>
  <c r="G6" i="2"/>
  <c r="H6" i="2"/>
  <c r="J6" i="2" s="1"/>
  <c r="F17" i="2"/>
  <c r="V40" i="1" s="1"/>
  <c r="W40" i="1" s="1"/>
  <c r="F10" i="2"/>
  <c r="V41" i="1" s="1"/>
  <c r="W41" i="1" s="1"/>
  <c r="H19" i="2"/>
  <c r="H16" i="2"/>
  <c r="G16" i="2"/>
  <c r="G17" i="2"/>
  <c r="G13" i="2"/>
  <c r="G10" i="2"/>
  <c r="H13" i="2"/>
  <c r="G21" i="2"/>
  <c r="G19" i="2"/>
  <c r="H21" i="2"/>
  <c r="S2" i="1"/>
  <c r="H3" i="2" s="1"/>
  <c r="J3" i="2" s="1"/>
  <c r="H22" i="2"/>
  <c r="G22" i="2"/>
  <c r="H20" i="2"/>
  <c r="G20" i="2"/>
  <c r="H15" i="2"/>
  <c r="J15" i="2" s="1"/>
  <c r="G15" i="2"/>
  <c r="J14" i="2"/>
  <c r="F13" i="2"/>
  <c r="V55" i="1" s="1"/>
  <c r="W55" i="1" s="1"/>
  <c r="V63" i="1"/>
  <c r="W63" i="1" s="1"/>
  <c r="J24" i="2"/>
  <c r="F21" i="2"/>
  <c r="V52" i="1" s="1"/>
  <c r="W52" i="1" s="1"/>
  <c r="F19" i="2"/>
  <c r="V117" i="1" s="1"/>
  <c r="W117" i="1" s="1"/>
  <c r="J12" i="2"/>
  <c r="J9" i="2"/>
  <c r="J5" i="2"/>
  <c r="V67" i="1"/>
  <c r="W67" i="1" s="1"/>
  <c r="J18" i="2"/>
  <c r="J16" i="2"/>
  <c r="J11" i="2"/>
  <c r="F22" i="2"/>
  <c r="V53" i="1" s="1"/>
  <c r="W53" i="1" s="1"/>
  <c r="F20" i="2"/>
  <c r="V51" i="1" s="1"/>
  <c r="W51" i="1" s="1"/>
  <c r="J7" i="2"/>
  <c r="V118" i="1" l="1"/>
  <c r="W118" i="1" s="1"/>
  <c r="V122" i="1"/>
  <c r="W122" i="1" s="1"/>
  <c r="V119" i="1"/>
  <c r="W119" i="1" s="1"/>
  <c r="V128" i="1"/>
  <c r="W128" i="1" s="1"/>
  <c r="V131" i="1"/>
  <c r="W131" i="1" s="1"/>
  <c r="V126" i="1"/>
  <c r="W126" i="1" s="1"/>
  <c r="V42" i="1"/>
  <c r="W42" i="1" s="1"/>
  <c r="V134" i="1"/>
  <c r="W134" i="1" s="1"/>
  <c r="V132" i="1"/>
  <c r="W132" i="1" s="1"/>
  <c r="V116" i="1"/>
  <c r="W116" i="1" s="1"/>
  <c r="V124" i="1"/>
  <c r="W124" i="1" s="1"/>
  <c r="V123" i="1"/>
  <c r="W123" i="1" s="1"/>
  <c r="V133" i="1"/>
  <c r="W133" i="1" s="1"/>
  <c r="V130" i="1"/>
  <c r="W130" i="1" s="1"/>
  <c r="V125" i="1"/>
  <c r="W125" i="1" s="1"/>
  <c r="V22" i="1"/>
  <c r="W22" i="1" s="1"/>
  <c r="V21" i="1"/>
  <c r="W21" i="1" s="1"/>
  <c r="V86" i="1"/>
  <c r="W86" i="1" s="1"/>
  <c r="V129" i="1"/>
  <c r="W129" i="1" s="1"/>
  <c r="V114" i="1"/>
  <c r="W114" i="1" s="1"/>
  <c r="V23" i="1"/>
  <c r="W23" i="1" s="1"/>
  <c r="V54" i="1"/>
  <c r="W54" i="1" s="1"/>
  <c r="V74" i="1"/>
  <c r="W74" i="1" s="1"/>
  <c r="V127" i="1"/>
  <c r="W127" i="1" s="1"/>
  <c r="V56" i="1"/>
  <c r="W56" i="1" s="1"/>
  <c r="V115" i="1"/>
  <c r="W115" i="1" s="1"/>
  <c r="AB62" i="1"/>
  <c r="AB4" i="1"/>
  <c r="AB24" i="1"/>
  <c r="AB6" i="1"/>
  <c r="AB39" i="1"/>
  <c r="AB17" i="1"/>
  <c r="AB61" i="1"/>
  <c r="AB3" i="1"/>
  <c r="AB5" i="1"/>
  <c r="AB66" i="1"/>
  <c r="AB87" i="1"/>
  <c r="AB43" i="1"/>
  <c r="AB90" i="1"/>
  <c r="AB94" i="1"/>
  <c r="AB91" i="1"/>
  <c r="AB92" i="1"/>
  <c r="AB89" i="1"/>
  <c r="AB93" i="1"/>
  <c r="AB95" i="1"/>
  <c r="AB88" i="1"/>
  <c r="AB65" i="1"/>
  <c r="AB64" i="1"/>
  <c r="V99" i="1"/>
  <c r="W99" i="1" s="1"/>
  <c r="V103" i="1"/>
  <c r="W103" i="1" s="1"/>
  <c r="V107" i="1"/>
  <c r="W107" i="1" s="1"/>
  <c r="V97" i="1"/>
  <c r="W97" i="1" s="1"/>
  <c r="V101" i="1"/>
  <c r="W101" i="1" s="1"/>
  <c r="V105" i="1"/>
  <c r="W105" i="1" s="1"/>
  <c r="V98" i="1"/>
  <c r="W98" i="1" s="1"/>
  <c r="V106" i="1"/>
  <c r="W106" i="1" s="1"/>
  <c r="V100" i="1"/>
  <c r="W100" i="1" s="1"/>
  <c r="V108" i="1"/>
  <c r="W108" i="1" s="1"/>
  <c r="V102" i="1"/>
  <c r="W102" i="1" s="1"/>
  <c r="V104" i="1"/>
  <c r="W104" i="1" s="1"/>
  <c r="V135" i="1"/>
  <c r="W135" i="1" s="1"/>
  <c r="V139" i="1"/>
  <c r="W139" i="1" s="1"/>
  <c r="V143" i="1"/>
  <c r="W143" i="1" s="1"/>
  <c r="V147" i="1"/>
  <c r="W147" i="1" s="1"/>
  <c r="V151" i="1"/>
  <c r="W151" i="1" s="1"/>
  <c r="V155" i="1"/>
  <c r="W155" i="1" s="1"/>
  <c r="V159" i="1"/>
  <c r="W159" i="1" s="1"/>
  <c r="V163" i="1"/>
  <c r="W163" i="1" s="1"/>
  <c r="V167" i="1"/>
  <c r="W167" i="1" s="1"/>
  <c r="V171" i="1"/>
  <c r="W171" i="1" s="1"/>
  <c r="V137" i="1"/>
  <c r="W137" i="1" s="1"/>
  <c r="V141" i="1"/>
  <c r="W141" i="1" s="1"/>
  <c r="V145" i="1"/>
  <c r="W145" i="1" s="1"/>
  <c r="V149" i="1"/>
  <c r="W149" i="1" s="1"/>
  <c r="V153" i="1"/>
  <c r="W153" i="1" s="1"/>
  <c r="V157" i="1"/>
  <c r="W157" i="1" s="1"/>
  <c r="V161" i="1"/>
  <c r="W161" i="1" s="1"/>
  <c r="V165" i="1"/>
  <c r="W165" i="1" s="1"/>
  <c r="V169" i="1"/>
  <c r="W169" i="1" s="1"/>
  <c r="V138" i="1"/>
  <c r="W138" i="1" s="1"/>
  <c r="V146" i="1"/>
  <c r="W146" i="1" s="1"/>
  <c r="V154" i="1"/>
  <c r="W154" i="1" s="1"/>
  <c r="V162" i="1"/>
  <c r="W162" i="1" s="1"/>
  <c r="V170" i="1"/>
  <c r="W170" i="1" s="1"/>
  <c r="V140" i="1"/>
  <c r="W140" i="1" s="1"/>
  <c r="V148" i="1"/>
  <c r="W148" i="1" s="1"/>
  <c r="V156" i="1"/>
  <c r="W156" i="1" s="1"/>
  <c r="V164" i="1"/>
  <c r="W164" i="1" s="1"/>
  <c r="V172" i="1"/>
  <c r="W172" i="1" s="1"/>
  <c r="V142" i="1"/>
  <c r="W142" i="1" s="1"/>
  <c r="V150" i="1"/>
  <c r="W150" i="1" s="1"/>
  <c r="V158" i="1"/>
  <c r="W158" i="1" s="1"/>
  <c r="V166" i="1"/>
  <c r="W166" i="1" s="1"/>
  <c r="V136" i="1"/>
  <c r="W136" i="1" s="1"/>
  <c r="V144" i="1"/>
  <c r="W144" i="1" s="1"/>
  <c r="V152" i="1"/>
  <c r="W152" i="1" s="1"/>
  <c r="V160" i="1"/>
  <c r="W160" i="1" s="1"/>
  <c r="V168" i="1"/>
  <c r="W168" i="1" s="1"/>
  <c r="AB10" i="1"/>
  <c r="AB14" i="1"/>
  <c r="AB11" i="1"/>
  <c r="AB12" i="1"/>
  <c r="AB7" i="1"/>
  <c r="AB9" i="1"/>
  <c r="AB13" i="1"/>
  <c r="AB15" i="1"/>
  <c r="AB16" i="1"/>
  <c r="AB8" i="1"/>
  <c r="AB69" i="1"/>
  <c r="AB68" i="1"/>
  <c r="AB70" i="1"/>
  <c r="AB71" i="1"/>
  <c r="AB73" i="1"/>
  <c r="AB72" i="1"/>
  <c r="J10" i="2"/>
  <c r="AB42" i="1" s="1"/>
  <c r="V19" i="1"/>
  <c r="W19" i="1" s="1"/>
  <c r="V18" i="1"/>
  <c r="W18" i="1" s="1"/>
  <c r="V20" i="1"/>
  <c r="W20" i="1" s="1"/>
  <c r="V111" i="1"/>
  <c r="W111" i="1" s="1"/>
  <c r="V109" i="1"/>
  <c r="W109" i="1" s="1"/>
  <c r="V113" i="1"/>
  <c r="W113" i="1" s="1"/>
  <c r="V110" i="1"/>
  <c r="W110" i="1" s="1"/>
  <c r="V112" i="1"/>
  <c r="W112" i="1" s="1"/>
  <c r="V47" i="1"/>
  <c r="W47" i="1" s="1"/>
  <c r="V45" i="1"/>
  <c r="W45" i="1" s="1"/>
  <c r="V49" i="1"/>
  <c r="W49" i="1" s="1"/>
  <c r="V50" i="1"/>
  <c r="W50" i="1" s="1"/>
  <c r="V44" i="1"/>
  <c r="W44" i="1" s="1"/>
  <c r="V46" i="1"/>
  <c r="W46" i="1" s="1"/>
  <c r="V48" i="1"/>
  <c r="W48" i="1" s="1"/>
  <c r="V121" i="1"/>
  <c r="W121" i="1" s="1"/>
  <c r="V120" i="1"/>
  <c r="W120" i="1" s="1"/>
  <c r="V75" i="1"/>
  <c r="W75" i="1" s="1"/>
  <c r="V79" i="1"/>
  <c r="W79" i="1" s="1"/>
  <c r="V83" i="1"/>
  <c r="W83" i="1" s="1"/>
  <c r="V77" i="1"/>
  <c r="W77" i="1" s="1"/>
  <c r="V81" i="1"/>
  <c r="W81" i="1" s="1"/>
  <c r="V85" i="1"/>
  <c r="W85" i="1" s="1"/>
  <c r="V82" i="1"/>
  <c r="W82" i="1" s="1"/>
  <c r="V76" i="1"/>
  <c r="W76" i="1" s="1"/>
  <c r="V84" i="1"/>
  <c r="W84" i="1" s="1"/>
  <c r="V78" i="1"/>
  <c r="W78" i="1" s="1"/>
  <c r="V80" i="1"/>
  <c r="W80" i="1" s="1"/>
  <c r="AB171" i="1"/>
  <c r="AB172" i="1"/>
  <c r="V59" i="1"/>
  <c r="W59" i="1" s="1"/>
  <c r="V57" i="1"/>
  <c r="W57" i="1" s="1"/>
  <c r="V58" i="1"/>
  <c r="W58" i="1" s="1"/>
  <c r="V60" i="1"/>
  <c r="W60" i="1" s="1"/>
  <c r="AB26" i="1"/>
  <c r="AB30" i="1"/>
  <c r="AB34" i="1"/>
  <c r="AB38" i="1"/>
  <c r="AB27" i="1"/>
  <c r="AB35" i="1"/>
  <c r="AB28" i="1"/>
  <c r="AB37" i="1"/>
  <c r="AB36" i="1"/>
  <c r="AB25" i="1"/>
  <c r="AB29" i="1"/>
  <c r="AB31" i="1"/>
  <c r="AB33" i="1"/>
  <c r="AB32" i="1"/>
  <c r="V91" i="1"/>
  <c r="W91" i="1" s="1"/>
  <c r="V95" i="1"/>
  <c r="W95" i="1" s="1"/>
  <c r="V89" i="1"/>
  <c r="W89" i="1" s="1"/>
  <c r="V93" i="1"/>
  <c r="W93" i="1" s="1"/>
  <c r="V90" i="1"/>
  <c r="W90" i="1" s="1"/>
  <c r="V92" i="1"/>
  <c r="W92" i="1" s="1"/>
  <c r="V94" i="1"/>
  <c r="W94" i="1" s="1"/>
  <c r="V88" i="1"/>
  <c r="W88" i="1" s="1"/>
  <c r="V96" i="1"/>
  <c r="W96" i="1" s="1"/>
  <c r="J17" i="2"/>
  <c r="AB2" i="1"/>
  <c r="K18" i="2"/>
  <c r="L18" i="2" s="1"/>
  <c r="K3" i="2"/>
  <c r="L3" i="2" s="1"/>
  <c r="K7" i="2"/>
  <c r="L7" i="2" s="1"/>
  <c r="K11" i="2"/>
  <c r="L11" i="2" s="1"/>
  <c r="K24" i="2"/>
  <c r="L24" i="2" s="1"/>
  <c r="K15" i="2"/>
  <c r="L15" i="2" s="1"/>
  <c r="K23" i="2"/>
  <c r="L23" i="2" s="1"/>
  <c r="J20" i="2"/>
  <c r="AB97" i="1" s="1"/>
  <c r="K4" i="2"/>
  <c r="L4" i="2" s="1"/>
  <c r="AB148" i="1"/>
  <c r="K12" i="2"/>
  <c r="L12" i="2" s="1"/>
  <c r="K6" i="2"/>
  <c r="L6" i="2" s="1"/>
  <c r="AB169" i="1"/>
  <c r="K16" i="2"/>
  <c r="L16" i="2" s="1"/>
  <c r="K9" i="2"/>
  <c r="L9" i="2" s="1"/>
  <c r="J22" i="2"/>
  <c r="K8" i="2"/>
  <c r="L8" i="2" s="1"/>
  <c r="AB129" i="1"/>
  <c r="J19" i="2"/>
  <c r="AB96" i="1" s="1"/>
  <c r="K14" i="2"/>
  <c r="L14" i="2" s="1"/>
  <c r="AB134" i="1"/>
  <c r="K5" i="2"/>
  <c r="L5" i="2" s="1"/>
  <c r="J21" i="2"/>
  <c r="AB98" i="1" s="1"/>
  <c r="AB146" i="1"/>
  <c r="J13" i="2"/>
  <c r="AB54" i="1" s="1"/>
  <c r="AB161" i="1"/>
  <c r="AB128" i="1" l="1"/>
  <c r="AB162" i="1"/>
  <c r="AB159" i="1"/>
  <c r="AB140" i="1"/>
  <c r="AB147" i="1"/>
  <c r="AB154" i="1"/>
  <c r="AB131" i="1"/>
  <c r="AB157" i="1"/>
  <c r="AB150" i="1"/>
  <c r="AB106" i="1"/>
  <c r="AB130" i="1"/>
  <c r="AB122" i="1"/>
  <c r="AB136" i="1"/>
  <c r="AB143" i="1"/>
  <c r="AB119" i="1"/>
  <c r="AB116" i="1"/>
  <c r="AB152" i="1"/>
  <c r="AB141" i="1"/>
  <c r="AB156" i="1"/>
  <c r="AB155" i="1"/>
  <c r="AB41" i="1"/>
  <c r="AB105" i="1"/>
  <c r="AB114" i="1"/>
  <c r="AB127" i="1"/>
  <c r="AB125" i="1"/>
  <c r="AB144" i="1"/>
  <c r="AB153" i="1"/>
  <c r="AB137" i="1"/>
  <c r="AB139" i="1"/>
  <c r="AB166" i="1"/>
  <c r="AB142" i="1"/>
  <c r="AB108" i="1"/>
  <c r="AB117" i="1"/>
  <c r="AB123" i="1"/>
  <c r="AB126" i="1"/>
  <c r="AB124" i="1"/>
  <c r="AB160" i="1"/>
  <c r="AB167" i="1"/>
  <c r="AB151" i="1"/>
  <c r="AB135" i="1"/>
  <c r="AB165" i="1"/>
  <c r="AB158" i="1"/>
  <c r="AB138" i="1"/>
  <c r="AB107" i="1"/>
  <c r="AB132" i="1"/>
  <c r="AB133" i="1"/>
  <c r="AB74" i="1"/>
  <c r="AB168" i="1"/>
  <c r="AB149" i="1"/>
  <c r="AB170" i="1"/>
  <c r="AB103" i="1"/>
  <c r="AB101" i="1"/>
  <c r="AB102" i="1"/>
  <c r="AB145" i="1"/>
  <c r="AB163" i="1"/>
  <c r="AB115" i="1"/>
  <c r="AB56" i="1"/>
  <c r="AB164" i="1"/>
  <c r="AB104" i="1"/>
  <c r="AB100" i="1"/>
  <c r="AB99" i="1"/>
  <c r="AB55" i="1"/>
  <c r="K10" i="2"/>
  <c r="L10" i="2" s="1"/>
  <c r="AC21" i="1" s="1"/>
  <c r="AB21" i="1"/>
  <c r="AB22" i="1"/>
  <c r="AB86" i="1"/>
  <c r="AB53" i="1"/>
  <c r="AC17" i="1"/>
  <c r="AC39" i="1"/>
  <c r="AC3" i="1"/>
  <c r="AB118" i="1"/>
  <c r="AC6" i="1"/>
  <c r="AB23" i="1"/>
  <c r="AB52" i="1"/>
  <c r="AC22" i="1"/>
  <c r="AC4" i="1"/>
  <c r="AB67" i="1"/>
  <c r="AC87" i="1"/>
  <c r="AB63" i="1"/>
  <c r="AB51" i="1"/>
  <c r="AB40" i="1"/>
  <c r="K17" i="2"/>
  <c r="AC61" i="1"/>
  <c r="AC64" i="1"/>
  <c r="AC65" i="1"/>
  <c r="AC62" i="1"/>
  <c r="AC19" i="1"/>
  <c r="AC20" i="1"/>
  <c r="AC18" i="1"/>
  <c r="AC7" i="1"/>
  <c r="AC11" i="1"/>
  <c r="AC15" i="1"/>
  <c r="AC8" i="1"/>
  <c r="AC12" i="1"/>
  <c r="AC16" i="1"/>
  <c r="AC9" i="1"/>
  <c r="AC13" i="1"/>
  <c r="AC10" i="1"/>
  <c r="AC14" i="1"/>
  <c r="AB121" i="1"/>
  <c r="AB120" i="1"/>
  <c r="AC71" i="1"/>
  <c r="AC72" i="1"/>
  <c r="AC73" i="1"/>
  <c r="AC70" i="1"/>
  <c r="M18" i="2"/>
  <c r="AC43" i="1"/>
  <c r="AC41" i="1"/>
  <c r="AC91" i="1"/>
  <c r="AC95" i="1"/>
  <c r="AC88" i="1"/>
  <c r="AC92" i="1"/>
  <c r="AC89" i="1"/>
  <c r="AC93" i="1"/>
  <c r="AC90" i="1"/>
  <c r="AC94" i="1"/>
  <c r="AB58" i="1"/>
  <c r="AB59" i="1"/>
  <c r="AB60" i="1"/>
  <c r="AB57" i="1"/>
  <c r="AB46" i="1"/>
  <c r="AB50" i="1"/>
  <c r="AB44" i="1"/>
  <c r="AB45" i="1"/>
  <c r="AB47" i="1"/>
  <c r="AB49" i="1"/>
  <c r="AB48" i="1"/>
  <c r="M24" i="2"/>
  <c r="M11" i="2"/>
  <c r="AC171" i="1"/>
  <c r="AC172" i="1"/>
  <c r="AB110" i="1"/>
  <c r="AB109" i="1"/>
  <c r="AB111" i="1"/>
  <c r="AB113" i="1"/>
  <c r="AB112" i="1"/>
  <c r="AC66" i="1"/>
  <c r="M23" i="2"/>
  <c r="AB78" i="1"/>
  <c r="AB82" i="1"/>
  <c r="AB75" i="1"/>
  <c r="AB83" i="1"/>
  <c r="AB76" i="1"/>
  <c r="AB85" i="1"/>
  <c r="AB84" i="1"/>
  <c r="AB77" i="1"/>
  <c r="AB79" i="1"/>
  <c r="AB81" i="1"/>
  <c r="AB80" i="1"/>
  <c r="AC68" i="1"/>
  <c r="AC69" i="1"/>
  <c r="M15" i="2"/>
  <c r="AC27" i="1"/>
  <c r="AC31" i="1"/>
  <c r="AC35" i="1"/>
  <c r="AC28" i="1"/>
  <c r="AC32" i="1"/>
  <c r="AC36" i="1"/>
  <c r="AC25" i="1"/>
  <c r="AC29" i="1"/>
  <c r="AC33" i="1"/>
  <c r="AC37" i="1"/>
  <c r="AC38" i="1"/>
  <c r="AC26" i="1"/>
  <c r="AC30" i="1"/>
  <c r="AC34" i="1"/>
  <c r="AB18" i="1"/>
  <c r="AB19" i="1"/>
  <c r="AB20" i="1"/>
  <c r="M7" i="2"/>
  <c r="AC24" i="1"/>
  <c r="AC5" i="1"/>
  <c r="M4" i="2"/>
  <c r="M3" i="2"/>
  <c r="AA2" i="1" s="1"/>
  <c r="AC2" i="1"/>
  <c r="M9" i="2"/>
  <c r="M5" i="2"/>
  <c r="M12" i="2"/>
  <c r="K19" i="2"/>
  <c r="L19" i="2" s="1"/>
  <c r="AC96" i="1" s="1"/>
  <c r="M16" i="2"/>
  <c r="K13" i="2"/>
  <c r="L13" i="2" s="1"/>
  <c r="AC74" i="1" s="1"/>
  <c r="K21" i="2"/>
  <c r="L21" i="2" s="1"/>
  <c r="AC98" i="1" s="1"/>
  <c r="M8" i="2"/>
  <c r="K22" i="2"/>
  <c r="L22" i="2" s="1"/>
  <c r="AC167" i="1" s="1"/>
  <c r="K20" i="2"/>
  <c r="L20" i="2" s="1"/>
  <c r="AC97" i="1" s="1"/>
  <c r="AC42" i="1" l="1"/>
  <c r="AC147" i="1"/>
  <c r="AC123" i="1"/>
  <c r="AC126" i="1"/>
  <c r="AC152" i="1"/>
  <c r="AC108" i="1"/>
  <c r="AC116" i="1"/>
  <c r="AC161" i="1"/>
  <c r="AC157" i="1"/>
  <c r="AC129" i="1"/>
  <c r="AC128" i="1"/>
  <c r="AC134" i="1"/>
  <c r="AC130" i="1"/>
  <c r="AC154" i="1"/>
  <c r="AC153" i="1"/>
  <c r="AC144" i="1"/>
  <c r="AC159" i="1"/>
  <c r="AC143" i="1"/>
  <c r="AC127" i="1"/>
  <c r="AC107" i="1"/>
  <c r="AC133" i="1"/>
  <c r="AC122" i="1"/>
  <c r="AC117" i="1"/>
  <c r="AC125" i="1"/>
  <c r="AC132" i="1"/>
  <c r="AC138" i="1"/>
  <c r="AC166" i="1"/>
  <c r="AC141" i="1"/>
  <c r="AC160" i="1"/>
  <c r="AC140" i="1"/>
  <c r="AC155" i="1"/>
  <c r="AC139" i="1"/>
  <c r="AC119" i="1"/>
  <c r="AC124" i="1"/>
  <c r="AC131" i="1"/>
  <c r="AC158" i="1"/>
  <c r="AC142" i="1"/>
  <c r="AC150" i="1"/>
  <c r="AC165" i="1"/>
  <c r="AC137" i="1"/>
  <c r="AC156" i="1"/>
  <c r="AC136" i="1"/>
  <c r="AC151" i="1"/>
  <c r="AC135" i="1"/>
  <c r="AC106" i="1"/>
  <c r="AA4" i="1"/>
  <c r="AA17" i="1"/>
  <c r="AA39" i="1"/>
  <c r="AA3" i="1"/>
  <c r="AA6" i="1"/>
  <c r="AC114" i="1"/>
  <c r="AC115" i="1"/>
  <c r="AC148" i="1"/>
  <c r="AC149" i="1"/>
  <c r="AC162" i="1"/>
  <c r="AC163" i="1"/>
  <c r="AC164" i="1"/>
  <c r="AC168" i="1"/>
  <c r="AC169" i="1"/>
  <c r="AC170" i="1"/>
  <c r="AC56" i="1"/>
  <c r="AC54" i="1"/>
  <c r="AC55" i="1"/>
  <c r="AC103" i="1"/>
  <c r="AC102" i="1"/>
  <c r="AC100" i="1"/>
  <c r="AC99" i="1"/>
  <c r="AC104" i="1"/>
  <c r="AC105" i="1"/>
  <c r="AC146" i="1"/>
  <c r="AC145" i="1"/>
  <c r="AA66" i="1"/>
  <c r="AA62" i="1"/>
  <c r="AA61" i="1"/>
  <c r="L17" i="2"/>
  <c r="AC40" i="1" s="1"/>
  <c r="AC86" i="1"/>
  <c r="AC23" i="1"/>
  <c r="AC67" i="1"/>
  <c r="AC53" i="1"/>
  <c r="AC118" i="1"/>
  <c r="AC52" i="1"/>
  <c r="AC63" i="1"/>
  <c r="AC51" i="1"/>
  <c r="AA171" i="1"/>
  <c r="AA172" i="1"/>
  <c r="AC120" i="1"/>
  <c r="AC121" i="1"/>
  <c r="AA8" i="1"/>
  <c r="AA16" i="1"/>
  <c r="AA7" i="1"/>
  <c r="AC75" i="1"/>
  <c r="AC83" i="1"/>
  <c r="AC76" i="1"/>
  <c r="AC84" i="1"/>
  <c r="AC77" i="1"/>
  <c r="AC85" i="1"/>
  <c r="AC78" i="1"/>
  <c r="AC82" i="1"/>
  <c r="AC111" i="1"/>
  <c r="AC112" i="1"/>
  <c r="AC109" i="1"/>
  <c r="AC113" i="1"/>
  <c r="AC110" i="1"/>
  <c r="AA25" i="1"/>
  <c r="AA29" i="1"/>
  <c r="AA33" i="1"/>
  <c r="AA37" i="1"/>
  <c r="AA32" i="1"/>
  <c r="AA30" i="1"/>
  <c r="AA31" i="1"/>
  <c r="AA35" i="1"/>
  <c r="AA38" i="1"/>
  <c r="AA36" i="1"/>
  <c r="AA28" i="1"/>
  <c r="AA34" i="1"/>
  <c r="AA69" i="1"/>
  <c r="AA68" i="1"/>
  <c r="AA43" i="1"/>
  <c r="AA65" i="1"/>
  <c r="AA64" i="1"/>
  <c r="AC59" i="1"/>
  <c r="AC60" i="1"/>
  <c r="AC57" i="1"/>
  <c r="AC58" i="1"/>
  <c r="AC47" i="1"/>
  <c r="AC44" i="1"/>
  <c r="AC48" i="1"/>
  <c r="AC45" i="1"/>
  <c r="AC49" i="1"/>
  <c r="AC46" i="1"/>
  <c r="AC50" i="1"/>
  <c r="AA93" i="1"/>
  <c r="AA94" i="1"/>
  <c r="AA95" i="1"/>
  <c r="AA92" i="1"/>
  <c r="AA73" i="1"/>
  <c r="AA72" i="1"/>
  <c r="AA71" i="1"/>
  <c r="AA70" i="1"/>
  <c r="M14" i="2"/>
  <c r="AA24" i="1" s="1"/>
  <c r="M6" i="2"/>
  <c r="AA26" i="1" s="1"/>
  <c r="M10" i="2"/>
  <c r="AA42" i="1" s="1"/>
  <c r="M21" i="2"/>
  <c r="AA166" i="1" s="1"/>
  <c r="M13" i="2"/>
  <c r="AA74" i="1" s="1"/>
  <c r="M19" i="2"/>
  <c r="AA96" i="1" s="1"/>
  <c r="M22" i="2"/>
  <c r="AA167" i="1" s="1"/>
  <c r="AA67" i="1"/>
  <c r="M20" i="2"/>
  <c r="AA141" i="1" s="1"/>
  <c r="AA128" i="1" l="1"/>
  <c r="AA161" i="1"/>
  <c r="AA88" i="1"/>
  <c r="AA134" i="1"/>
  <c r="AA132" i="1"/>
  <c r="AA125" i="1"/>
  <c r="AA140" i="1"/>
  <c r="AA155" i="1"/>
  <c r="AA142" i="1"/>
  <c r="AA152" i="1"/>
  <c r="AA165" i="1"/>
  <c r="AA137" i="1"/>
  <c r="AA123" i="1"/>
  <c r="AA87" i="1"/>
  <c r="AA154" i="1"/>
  <c r="AA91" i="1"/>
  <c r="AA130" i="1"/>
  <c r="AA41" i="1"/>
  <c r="AA27" i="1"/>
  <c r="AA106" i="1"/>
  <c r="AA156" i="1"/>
  <c r="AA147" i="1"/>
  <c r="AA159" i="1"/>
  <c r="AA135" i="1"/>
  <c r="AA144" i="1"/>
  <c r="AA157" i="1"/>
  <c r="AC101" i="1"/>
  <c r="AA119" i="1"/>
  <c r="AA89" i="1"/>
  <c r="AA131" i="1"/>
  <c r="AA108" i="1"/>
  <c r="AA139" i="1"/>
  <c r="AA143" i="1"/>
  <c r="AA158" i="1"/>
  <c r="AA136" i="1"/>
  <c r="AA153" i="1"/>
  <c r="AA117" i="1"/>
  <c r="AA90" i="1"/>
  <c r="AA133" i="1"/>
  <c r="AA116" i="1"/>
  <c r="AA124" i="1"/>
  <c r="AA107" i="1"/>
  <c r="AA138" i="1"/>
  <c r="AA151" i="1"/>
  <c r="AA160" i="1"/>
  <c r="M17" i="2"/>
  <c r="AA40" i="1" s="1"/>
  <c r="AC79" i="1"/>
  <c r="AC80" i="1"/>
  <c r="AC81" i="1"/>
  <c r="AA169" i="1"/>
  <c r="AA168" i="1"/>
  <c r="AA170" i="1"/>
  <c r="AA53" i="1"/>
  <c r="AA99" i="1"/>
  <c r="AA105" i="1"/>
  <c r="AA104" i="1"/>
  <c r="AA102" i="1"/>
  <c r="AA103" i="1"/>
  <c r="AA100" i="1"/>
  <c r="AA23" i="1"/>
  <c r="AA54" i="1"/>
  <c r="AA56" i="1"/>
  <c r="AA55" i="1"/>
  <c r="AA122" i="1"/>
  <c r="AA150" i="1"/>
  <c r="AA86" i="1"/>
  <c r="AA129" i="1"/>
  <c r="AA148" i="1"/>
  <c r="AA149" i="1"/>
  <c r="AA22" i="1"/>
  <c r="AA21" i="1"/>
  <c r="AA5" i="1"/>
  <c r="AA13" i="1"/>
  <c r="AA14" i="1"/>
  <c r="AA12" i="1"/>
  <c r="AA15" i="1"/>
  <c r="AA11" i="1"/>
  <c r="AA9" i="1"/>
  <c r="AA10" i="1"/>
  <c r="AA63" i="1"/>
  <c r="AA114" i="1"/>
  <c r="AA115" i="1"/>
  <c r="AA51" i="1"/>
  <c r="AA97" i="1"/>
  <c r="AA163" i="1"/>
  <c r="AA164" i="1"/>
  <c r="AA162" i="1"/>
  <c r="AA118" i="1"/>
  <c r="AA145" i="1"/>
  <c r="AA146" i="1"/>
  <c r="AA52" i="1"/>
  <c r="AA98" i="1"/>
  <c r="AA19" i="1"/>
  <c r="AA20" i="1"/>
  <c r="AA18" i="1"/>
  <c r="AA126" i="1"/>
  <c r="AA127" i="1"/>
  <c r="AA109" i="1"/>
  <c r="AA113" i="1"/>
  <c r="AA112" i="1"/>
  <c r="AA110" i="1"/>
  <c r="AA111" i="1"/>
  <c r="AA57" i="1"/>
  <c r="AA59" i="1"/>
  <c r="AA60" i="1"/>
  <c r="AA58" i="1"/>
  <c r="AA77" i="1"/>
  <c r="AA81" i="1"/>
  <c r="AA85" i="1"/>
  <c r="AA80" i="1"/>
  <c r="AA78" i="1"/>
  <c r="AA79" i="1"/>
  <c r="AA75" i="1"/>
  <c r="AA83" i="1"/>
  <c r="AA84" i="1"/>
  <c r="AA82" i="1"/>
  <c r="AA76" i="1"/>
  <c r="AA121" i="1"/>
  <c r="AA120" i="1"/>
  <c r="AA45" i="1"/>
  <c r="AA49" i="1"/>
  <c r="AA48" i="1"/>
  <c r="AA46" i="1"/>
  <c r="AA47" i="1"/>
  <c r="AA44" i="1"/>
  <c r="AA50" i="1"/>
  <c r="AA101" i="1" l="1"/>
  <c r="L1" i="2"/>
  <c r="H25" i="2"/>
  <c r="H1" i="2" s="1"/>
  <c r="E25" i="2"/>
  <c r="E1" i="2" s="1"/>
  <c r="F25" i="2"/>
  <c r="F1" i="2" s="1"/>
  <c r="G25" i="2"/>
  <c r="G1" i="2" s="1"/>
  <c r="S2" i="2" l="1"/>
  <c r="T2" i="2"/>
  <c r="K25" i="2"/>
  <c r="K1" i="2" s="1"/>
  <c r="M1" i="2" l="1"/>
</calcChain>
</file>

<file path=xl/comments1.xml><?xml version="1.0" encoding="utf-8"?>
<comments xmlns="http://schemas.openxmlformats.org/spreadsheetml/2006/main">
  <authors>
    <author>tc={0C4D2308-6517-426C-A8D7-3AB175373AE7}</author>
  </authors>
  <commentList>
    <comment ref="S1" authorId="0" shapeId="0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Maior valor total entre contábil e de reposição</t>
        </r>
      </text>
    </comment>
  </commentList>
</comments>
</file>

<file path=xl/sharedStrings.xml><?xml version="1.0" encoding="utf-8"?>
<sst xmlns="http://schemas.openxmlformats.org/spreadsheetml/2006/main" count="1784" uniqueCount="394">
  <si>
    <t>Índice</t>
  </si>
  <si>
    <t>Grupo de Alienação</t>
  </si>
  <si>
    <t>Lote</t>
  </si>
  <si>
    <t>AL</t>
  </si>
  <si>
    <t>Material</t>
  </si>
  <si>
    <t>Descrição do Material</t>
  </si>
  <si>
    <t>Centro
Origem</t>
  </si>
  <si>
    <t>Elemento PEP</t>
  </si>
  <si>
    <t>Depósito</t>
  </si>
  <si>
    <t>Tipo de Avaliação</t>
  </si>
  <si>
    <t>Nº de Série</t>
  </si>
  <si>
    <t>Quantidade</t>
  </si>
  <si>
    <t>Unidade</t>
  </si>
  <si>
    <t>Valor Contábil Unitário</t>
  </si>
  <si>
    <t>Valor Contábil Total</t>
  </si>
  <si>
    <t>Valor de Reposição Unitário</t>
  </si>
  <si>
    <t>Valor total de Reposição</t>
  </si>
  <si>
    <t>Valor de Comparação com VMA</t>
  </si>
  <si>
    <t>VMA - Unitário</t>
  </si>
  <si>
    <t>VMA - Total</t>
  </si>
  <si>
    <t>VMA total do Lote</t>
  </si>
  <si>
    <t>Percentual do Item em Relação ao Lote</t>
  </si>
  <si>
    <t>Local de Armazenamento</t>
  </si>
  <si>
    <t>Fase</t>
  </si>
  <si>
    <t>Chave Única Material</t>
  </si>
  <si>
    <t>LOTES</t>
  </si>
  <si>
    <t>Valor Contábil Total do Lote</t>
  </si>
  <si>
    <t>VMA Total do Lote</t>
  </si>
  <si>
    <t>TOTAL</t>
  </si>
  <si>
    <t>Valor Total de Reposição do Lote</t>
  </si>
  <si>
    <t>Valor Comparação VMA do Lote</t>
  </si>
  <si>
    <t>Qtd. Linhas do Lote</t>
  </si>
  <si>
    <t>VMA / Comparação</t>
  </si>
  <si>
    <t>Total</t>
  </si>
  <si>
    <t>STATUS</t>
  </si>
  <si>
    <t>Lance de Partida</t>
  </si>
  <si>
    <t>Descrição</t>
  </si>
  <si>
    <t>Valor VMA</t>
  </si>
  <si>
    <t>Valor Contábil</t>
  </si>
  <si>
    <t>Qtd Lotes</t>
  </si>
  <si>
    <t>Sugestão</t>
  </si>
  <si>
    <t>FOTO</t>
  </si>
  <si>
    <t>TIPO DE AVALIAÇÃO</t>
  </si>
  <si>
    <t>teste</t>
  </si>
  <si>
    <t>Gerência</t>
  </si>
  <si>
    <t>Classificação</t>
  </si>
  <si>
    <t>C64</t>
  </si>
  <si>
    <t>LULA</t>
  </si>
  <si>
    <t>C200027</t>
  </si>
  <si>
    <t>AL-02</t>
  </si>
  <si>
    <t>Espaçador selante p/gravel pack</t>
  </si>
  <si>
    <t>C65</t>
  </si>
  <si>
    <t>Meia pata mula p/gravel pack</t>
  </si>
  <si>
    <t>C66</t>
  </si>
  <si>
    <t>C67</t>
  </si>
  <si>
    <t>Tampão cego p/gravel pack</t>
  </si>
  <si>
    <t>C68</t>
  </si>
  <si>
    <t>Extensão não selante p/gravel pack</t>
  </si>
  <si>
    <t>C69</t>
  </si>
  <si>
    <t>C70</t>
  </si>
  <si>
    <t>C200028</t>
  </si>
  <si>
    <t>AL-01</t>
  </si>
  <si>
    <t>Localizador p/obt.prod DE 4,545"</t>
  </si>
  <si>
    <t>C71</t>
  </si>
  <si>
    <t>Localizador p/obt.prod DE 6"</t>
  </si>
  <si>
    <t>C72</t>
  </si>
  <si>
    <t>Localizador p/obt.prod DE 6,813"</t>
  </si>
  <si>
    <t>C73</t>
  </si>
  <si>
    <t>Unid. selante p/obt.prod DE 6,070"</t>
  </si>
  <si>
    <t>C74</t>
  </si>
  <si>
    <t>C75</t>
  </si>
  <si>
    <t>C76</t>
  </si>
  <si>
    <t>C101</t>
  </si>
  <si>
    <t>C200034</t>
  </si>
  <si>
    <t>Protetor cabo 6 5/8" VamTop 24</t>
  </si>
  <si>
    <t>C102</t>
  </si>
  <si>
    <t>Protetor cabo 5 1/2" VamTop 17</t>
  </si>
  <si>
    <t>C103</t>
  </si>
  <si>
    <t>Protetor cabo 4 1/2" VamTop 12,6</t>
  </si>
  <si>
    <t>C104</t>
  </si>
  <si>
    <t>Protetor cabo 557LP 5 1/2" VamTop 17</t>
  </si>
  <si>
    <t>C105</t>
  </si>
  <si>
    <t>C106</t>
  </si>
  <si>
    <t>Protetor cabo Lasalle 5 1/2" VamTop 23</t>
  </si>
  <si>
    <t>C107</t>
  </si>
  <si>
    <t>C108</t>
  </si>
  <si>
    <t>C109</t>
  </si>
  <si>
    <t>C110</t>
  </si>
  <si>
    <t>C111</t>
  </si>
  <si>
    <t>C113</t>
  </si>
  <si>
    <t>C200036</t>
  </si>
  <si>
    <t>Adaptador p/ferram assent liner</t>
  </si>
  <si>
    <t>C114</t>
  </si>
  <si>
    <t>Conj. pino cisalh./molas p/ferram. inst.</t>
  </si>
  <si>
    <t>C116</t>
  </si>
  <si>
    <t>C200038</t>
  </si>
  <si>
    <t>Obt. prod. 10 3/4"85,30</t>
  </si>
  <si>
    <t>C117</t>
  </si>
  <si>
    <t>Obt. prod. 9 5/8"47-53,5 4 1/2EU</t>
  </si>
  <si>
    <t>C118</t>
  </si>
  <si>
    <t>Obt. prod. 9 5/8"53,5 4 1/2VAMTOP</t>
  </si>
  <si>
    <t>C119</t>
  </si>
  <si>
    <t>C120</t>
  </si>
  <si>
    <t>Obt. prod. 10 3/4"79,2-85,3 7"VAMTOP</t>
  </si>
  <si>
    <t>C132</t>
  </si>
  <si>
    <t>C200043</t>
  </si>
  <si>
    <t>Alarg perf poço SHOI616BPX</t>
  </si>
  <si>
    <t>C133</t>
  </si>
  <si>
    <t>C200044</t>
  </si>
  <si>
    <t>Estabilizador 6 lâmin. retas 4 1/2REG pi</t>
  </si>
  <si>
    <t>C134</t>
  </si>
  <si>
    <t>Estabilizador 6 lâmin. espir. 7 5/8REG p</t>
  </si>
  <si>
    <t>C135</t>
  </si>
  <si>
    <t>Escareador 8 lâmin. retas 7 5/8REG x 7 5</t>
  </si>
  <si>
    <t>C136</t>
  </si>
  <si>
    <t>Escareador 6 lâmin. retas 4 1/2REG x p/p</t>
  </si>
  <si>
    <t>C137</t>
  </si>
  <si>
    <t>C138</t>
  </si>
  <si>
    <t>C139</t>
  </si>
  <si>
    <t>Escareador 4 lâmin. espir. 6 5/8REG pin</t>
  </si>
  <si>
    <t>C142</t>
  </si>
  <si>
    <t>C200046</t>
  </si>
  <si>
    <t>Broca DNAT 8 1/2" M841 HH135G8</t>
  </si>
  <si>
    <t>C143</t>
  </si>
  <si>
    <t>Broca DNAT 8 1/2" M842 XTG49CDOTPX</t>
  </si>
  <si>
    <t>C144</t>
  </si>
  <si>
    <t>C200047</t>
  </si>
  <si>
    <t>Broca DSINT TSP 5 7/8 IADC M842 HH352G8G</t>
  </si>
  <si>
    <t>C145</t>
  </si>
  <si>
    <t>Broca DSINT PDC 8 1/2 IADC M433 QD407FX</t>
  </si>
  <si>
    <t>C146</t>
  </si>
  <si>
    <t>Broca DSINT PDC 8 1/2 IADC M332 E1104-A2</t>
  </si>
  <si>
    <t>C147</t>
  </si>
  <si>
    <t>Broca DSINT PDC 17 1/2 IADC M333 HCR606</t>
  </si>
  <si>
    <t>C148</t>
  </si>
  <si>
    <t>Broca DSINT PDC 12 1/4 IADC M223 FMF3653</t>
  </si>
  <si>
    <t>C149</t>
  </si>
  <si>
    <t>Broca DSINT PDC 14 3/4 IADC M222 MDI616L</t>
  </si>
  <si>
    <t>C150</t>
  </si>
  <si>
    <t>Broca DSINT PDC 17 1/2 IADC M333 HC507S</t>
  </si>
  <si>
    <t>C151</t>
  </si>
  <si>
    <t>Broca DSINT PDC 12 1/4 IADC M433 MI813VB</t>
  </si>
  <si>
    <t>C152</t>
  </si>
  <si>
    <t>Broca DSINT PDC 12 1/4 IADC M323 MDI716L</t>
  </si>
  <si>
    <t>C153</t>
  </si>
  <si>
    <t>Broca DSINT PDC 8 1/2 IADC M333 QD407XX</t>
  </si>
  <si>
    <t>C154</t>
  </si>
  <si>
    <t>Broca DSINT PDC 17 1/2 IADC M123 FM3653Z</t>
  </si>
  <si>
    <t>C155</t>
  </si>
  <si>
    <t>Broca DSINT PDC 17 1/2 IADC M123 FM3753Z</t>
  </si>
  <si>
    <t>C156</t>
  </si>
  <si>
    <t>Broca DSINT PDC 17 1/2 IADC S223 S616VPX</t>
  </si>
  <si>
    <t>C157</t>
  </si>
  <si>
    <t>Broca DSINT PDC 26" IADC S123 FX95S</t>
  </si>
  <si>
    <t>C158</t>
  </si>
  <si>
    <t>Broca DSINT PDC 12 1/4 IADC M444 QD410FX</t>
  </si>
  <si>
    <t>C159</t>
  </si>
  <si>
    <t>Broca DSINT PDC 12 1/4 IADC M333 HCD407X</t>
  </si>
  <si>
    <t>C160</t>
  </si>
  <si>
    <t>Broca DSINT PDC 8 1/2 IADC M333 QD406FXX</t>
  </si>
  <si>
    <t>C161</t>
  </si>
  <si>
    <t>Broca DSINT PDC 12 1/4 IADC M433 MDSI813</t>
  </si>
  <si>
    <t>C162</t>
  </si>
  <si>
    <t>Broca DSINT PDC 8 1/2 IADC M323 QD408X</t>
  </si>
  <si>
    <t>C163</t>
  </si>
  <si>
    <t>Broca DSINT PDC 8 1/2 IADC M432 DSR713M-</t>
  </si>
  <si>
    <t>C164</t>
  </si>
  <si>
    <t>Broca DSINT PDC 17 1/2 IADC M422 RS716MD</t>
  </si>
  <si>
    <t>C165</t>
  </si>
  <si>
    <t>Broca DSINT PDC 17 1/2 IADC M433 HCD507P</t>
  </si>
  <si>
    <t>C166</t>
  </si>
  <si>
    <t>Broca DSINT PDC 17 1/2 IADC S422 M716-B1</t>
  </si>
  <si>
    <t>C167</t>
  </si>
  <si>
    <t>Broca DSINT PDC 17 1/2 IADC M123 FM2663</t>
  </si>
  <si>
    <t>C168</t>
  </si>
  <si>
    <t>C200048</t>
  </si>
  <si>
    <t>Broca DINSERT 8 1/2 IADC547 HUGHES HRS38</t>
  </si>
  <si>
    <t>C169</t>
  </si>
  <si>
    <t>Broca DINSERT 16" IADC435M EBXT12SC</t>
  </si>
  <si>
    <t>C170</t>
  </si>
  <si>
    <t>Broca DINSERT 9" IADC547M MX-PS35DX</t>
  </si>
  <si>
    <t>C171</t>
  </si>
  <si>
    <t>Broca DINSERT 9" IADC537M FS30TODVPS</t>
  </si>
  <si>
    <t>C172</t>
  </si>
  <si>
    <t>Broca DINSERT 8 1/2 IADC517M MXS20GD</t>
  </si>
  <si>
    <t>C173</t>
  </si>
  <si>
    <t>Broca DINSERT 8 1/2 IADC617 REED R40APDH</t>
  </si>
  <si>
    <t>C174</t>
  </si>
  <si>
    <t>Broca DINSERT 8 1/2 IADC447M GF15ODPS</t>
  </si>
  <si>
    <t>C175</t>
  </si>
  <si>
    <t>C200049</t>
  </si>
  <si>
    <t>Broca DFREZ 14 3/4" IADC 115M HUGHES MXS</t>
  </si>
  <si>
    <t>C176</t>
  </si>
  <si>
    <t>Broca DFREZ 26 " IADC 111C HUGHES CR1</t>
  </si>
  <si>
    <t>C177</t>
  </si>
  <si>
    <t>Broca DFREZ 12 1/4" IADC 337S QH7GSC</t>
  </si>
  <si>
    <t>C178</t>
  </si>
  <si>
    <t>Broca DFREZ 12 1/4" IADC 117M HUGHES MXL</t>
  </si>
  <si>
    <t>C179</t>
  </si>
  <si>
    <t>Broca DFREZ 26 " IADC 115M SB115HCPS</t>
  </si>
  <si>
    <t>C180</t>
  </si>
  <si>
    <t>Broca DFREZ 17 1/2" IADC 115M SB115HODCP</t>
  </si>
  <si>
    <t>C181</t>
  </si>
  <si>
    <t>Broca DFREZ 36" IADC 111C DSUJ-7J3C</t>
  </si>
  <si>
    <t>C182</t>
  </si>
  <si>
    <t>Broca DFREZ 8 1/2" IADC 117M SB117ODPS</t>
  </si>
  <si>
    <t>C183</t>
  </si>
  <si>
    <t>Broca DFREZ 9 1/2" IADC 117 XR+OD4PS</t>
  </si>
  <si>
    <t>C184</t>
  </si>
  <si>
    <t>Broca DFREZ 8 1/2" IADC 117W EQHC1R</t>
  </si>
  <si>
    <t>C185</t>
  </si>
  <si>
    <t>Broca DFREZ 9 1/2" IADC 117 REED EHT11G</t>
  </si>
  <si>
    <t>C186</t>
  </si>
  <si>
    <t>Broca DFREZ 9" IADC 117M XR+ODCPS</t>
  </si>
  <si>
    <t>C187</t>
  </si>
  <si>
    <t>Broca DFREZ 9" QH8R</t>
  </si>
  <si>
    <t>C189</t>
  </si>
  <si>
    <t>C200051</t>
  </si>
  <si>
    <t>Protetor de cabo p/registrador PDG</t>
  </si>
  <si>
    <t>C190</t>
  </si>
  <si>
    <t>C191</t>
  </si>
  <si>
    <t>Emenda p/registrador PDG</t>
  </si>
  <si>
    <t>C192</t>
  </si>
  <si>
    <t>Cabo elétr-hidr p/registrador PDG</t>
  </si>
  <si>
    <t>C193</t>
  </si>
  <si>
    <t>Mandril p/registrador PDG</t>
  </si>
  <si>
    <t>C194</t>
  </si>
  <si>
    <t>C200052</t>
  </si>
  <si>
    <t>Tubo rev Q125HC s/c 14"-D12.250 115lb/pé</t>
  </si>
  <si>
    <t>C195</t>
  </si>
  <si>
    <t>Tubo rev X80PSL2 c/c 22"-D20.187 184lb/p</t>
  </si>
  <si>
    <t>C196</t>
  </si>
  <si>
    <t>Tubo rev 25-7-3/125 s/c 7"-D6.000 32lb/p</t>
  </si>
  <si>
    <t>C197</t>
  </si>
  <si>
    <t>Tubo rev 13-5-2/110 s/c 7"-D6.000 32lb/p</t>
  </si>
  <si>
    <t>C198</t>
  </si>
  <si>
    <t>C199</t>
  </si>
  <si>
    <t>C200053</t>
  </si>
  <si>
    <t>Tubo rev comp X70-PSL2 22x1.125"</t>
  </si>
  <si>
    <t>C200</t>
  </si>
  <si>
    <t>Tubo rev comp X80-PSL2 22x0.812"</t>
  </si>
  <si>
    <t>C201</t>
  </si>
  <si>
    <t>C202</t>
  </si>
  <si>
    <t>C203</t>
  </si>
  <si>
    <t>C200054</t>
  </si>
  <si>
    <t>Luva tb rev reg 7" VAM TOP HC 25-7-3/125</t>
  </si>
  <si>
    <t>C204</t>
  </si>
  <si>
    <t>C200055</t>
  </si>
  <si>
    <t>Redução p/tubo revest. 13 3/8 x 13 5/8"</t>
  </si>
  <si>
    <t>C205</t>
  </si>
  <si>
    <t>Redução p/tubo revest. 13 5/8 x 13 3/8"</t>
  </si>
  <si>
    <t>C206</t>
  </si>
  <si>
    <t>Redução p/tubo revest. 13 5/8 x 14"</t>
  </si>
  <si>
    <t>C244</t>
  </si>
  <si>
    <t>C200062</t>
  </si>
  <si>
    <t>Kit vedação p/susp coluna</t>
  </si>
  <si>
    <t>C245</t>
  </si>
  <si>
    <t>Kit vedação MCV p/ferram</t>
  </si>
  <si>
    <t>C246</t>
  </si>
  <si>
    <t>Conj. pino cis./molas p/ferr inst FMC</t>
  </si>
  <si>
    <t>C247</t>
  </si>
  <si>
    <t>Jogo selos p/ferram</t>
  </si>
  <si>
    <t>C248</t>
  </si>
  <si>
    <t>C249</t>
  </si>
  <si>
    <t>Jogo selos p/ferr teste BOP</t>
  </si>
  <si>
    <t>C250</t>
  </si>
  <si>
    <t>Jogo selos P/BAP</t>
  </si>
  <si>
    <t>C251</t>
  </si>
  <si>
    <t>C252</t>
  </si>
  <si>
    <t>Selo p/ferr inst</t>
  </si>
  <si>
    <t>C253</t>
  </si>
  <si>
    <t>Ponteira P/BAP</t>
  </si>
  <si>
    <t>C254</t>
  </si>
  <si>
    <t>Ponteira p/ferram</t>
  </si>
  <si>
    <t>C255</t>
  </si>
  <si>
    <t>Jogo sedes 5 1/8" p/FDR FMC</t>
  </si>
  <si>
    <t>C256</t>
  </si>
  <si>
    <t>Jogo selos p/ferr bucha desg FMC</t>
  </si>
  <si>
    <t>C257</t>
  </si>
  <si>
    <t>Jogo selos p/ferr teste BOP FMC</t>
  </si>
  <si>
    <t>C258</t>
  </si>
  <si>
    <t>C259</t>
  </si>
  <si>
    <t>Jogo selos p/ferram FMC</t>
  </si>
  <si>
    <t>C260</t>
  </si>
  <si>
    <t>Jogo selos p/FDR FMC</t>
  </si>
  <si>
    <t>C261</t>
  </si>
  <si>
    <t>Gaveta p/FDR FMC</t>
  </si>
  <si>
    <t>C262</t>
  </si>
  <si>
    <t>Gaveta p/FDR Kvaerner</t>
  </si>
  <si>
    <t>C267</t>
  </si>
  <si>
    <t>C200065</t>
  </si>
  <si>
    <t>Kit ved. capa corros. p/ANM</t>
  </si>
  <si>
    <t>C268</t>
  </si>
  <si>
    <t>Kit ved. bucha desg. p/ANM</t>
  </si>
  <si>
    <t>C269</t>
  </si>
  <si>
    <t>Sede p/ANM 5 1/8"</t>
  </si>
  <si>
    <t>C270</t>
  </si>
  <si>
    <t>Sede p/ANM 2 1/16"</t>
  </si>
  <si>
    <t>C271</t>
  </si>
  <si>
    <t>Capa prot./corrosão p/ANM</t>
  </si>
  <si>
    <t>C272</t>
  </si>
  <si>
    <t>Sede p/ANM 1"</t>
  </si>
  <si>
    <t>C273</t>
  </si>
  <si>
    <t>Gaveta p/ANM 2 1/16"</t>
  </si>
  <si>
    <t>C274</t>
  </si>
  <si>
    <t>Gabarito bucha desg. p/ANM</t>
  </si>
  <si>
    <t>C275</t>
  </si>
  <si>
    <t>Kit ved. MCV anular p/ANM</t>
  </si>
  <si>
    <t>C276</t>
  </si>
  <si>
    <t>Kit ved. MCV umb eletr. hidr. p/ANM</t>
  </si>
  <si>
    <t>C277</t>
  </si>
  <si>
    <t>Kit ved. capa ANM p/ANM</t>
  </si>
  <si>
    <t>C278</t>
  </si>
  <si>
    <t>Jg sedes p/ANM 5 1/8"</t>
  </si>
  <si>
    <t>C279</t>
  </si>
  <si>
    <t>Jg sedes p/ANM 2 1/16"</t>
  </si>
  <si>
    <t>C280</t>
  </si>
  <si>
    <t>Jg selos susp. col. 18 3/4" p/ANM</t>
  </si>
  <si>
    <t>C281</t>
  </si>
  <si>
    <t>Kit ved. p/ANM</t>
  </si>
  <si>
    <t>C282</t>
  </si>
  <si>
    <t>C283</t>
  </si>
  <si>
    <t>C284</t>
  </si>
  <si>
    <t>Kit sobress. p/ANM</t>
  </si>
  <si>
    <t>C285</t>
  </si>
  <si>
    <t>C286</t>
  </si>
  <si>
    <t>Selo bucha desg. p/ANM</t>
  </si>
  <si>
    <t>C287</t>
  </si>
  <si>
    <t>Stab p/ANM FMC</t>
  </si>
  <si>
    <t>C288</t>
  </si>
  <si>
    <t>Sistema trav. p/ANM</t>
  </si>
  <si>
    <t>C289</t>
  </si>
  <si>
    <t>Kit ved. MCV prod. p/ANM FMC</t>
  </si>
  <si>
    <t>C290</t>
  </si>
  <si>
    <t>Kit ved. MCV anular p/ANM FMC</t>
  </si>
  <si>
    <t>C291</t>
  </si>
  <si>
    <t>Jg selos susp. col. p/ANM FMC</t>
  </si>
  <si>
    <t>C292</t>
  </si>
  <si>
    <t>Kit ved. atuad. válv. gav. p/ANM 5 1/8"</t>
  </si>
  <si>
    <t>C293</t>
  </si>
  <si>
    <t>C294</t>
  </si>
  <si>
    <t>C295</t>
  </si>
  <si>
    <t>Kit ved. do CLF/MLF p/ANM FMC</t>
  </si>
  <si>
    <t>C296</t>
  </si>
  <si>
    <t>Kit ved. MCV umb eletr. hidr. p/ANM FMC</t>
  </si>
  <si>
    <t>C297</t>
  </si>
  <si>
    <t>Kit ved. atuad. válv. gav. p/ANM 2 1/16"</t>
  </si>
  <si>
    <t>C298</t>
  </si>
  <si>
    <t>Kit ved. capa ANM p/ANM FMC</t>
  </si>
  <si>
    <t>C299</t>
  </si>
  <si>
    <t>Jg travas capa ANM p/ANM FMC</t>
  </si>
  <si>
    <t>C300</t>
  </si>
  <si>
    <t>Sede p/ANM FMC</t>
  </si>
  <si>
    <t>C301</t>
  </si>
  <si>
    <t>Selo bucha desg. p/ANM FMC</t>
  </si>
  <si>
    <t>C302</t>
  </si>
  <si>
    <t>Kit ved. atuad. válv. gav. p/ANM 1"</t>
  </si>
  <si>
    <t>C303</t>
  </si>
  <si>
    <t>C304</t>
  </si>
  <si>
    <t>C305</t>
  </si>
  <si>
    <t>Jg selos da BAP p/ANM FMC</t>
  </si>
  <si>
    <t>C306</t>
  </si>
  <si>
    <t>Gaveta p/ANM 5 1/8"</t>
  </si>
  <si>
    <t>C307</t>
  </si>
  <si>
    <t>C200066</t>
  </si>
  <si>
    <t>Base teste p/ANM</t>
  </si>
  <si>
    <t>C308</t>
  </si>
  <si>
    <t>Gabarito p/ANM</t>
  </si>
  <si>
    <t>C309</t>
  </si>
  <si>
    <t>C351</t>
  </si>
  <si>
    <t>C200068</t>
  </si>
  <si>
    <t>Válv. contr. fluxo p/sist.contr.poço</t>
  </si>
  <si>
    <t>C354</t>
  </si>
  <si>
    <t>C200071</t>
  </si>
  <si>
    <t>Kit ved. p/atuador hidráulico Kvaerner</t>
  </si>
  <si>
    <t>C355</t>
  </si>
  <si>
    <t>C356</t>
  </si>
  <si>
    <t>C365</t>
  </si>
  <si>
    <t>C200077</t>
  </si>
  <si>
    <t>Maq.didática p/ANM esc.1:20</t>
  </si>
  <si>
    <t>C366</t>
  </si>
  <si>
    <t>Maq.didática p/equip.subm. esc.1:10</t>
  </si>
  <si>
    <t>JI02</t>
  </si>
  <si>
    <t>A RECUPER</t>
  </si>
  <si>
    <t>IMOB/IAMN</t>
  </si>
  <si>
    <t>IMOB/NAC</t>
  </si>
  <si>
    <t>JI01</t>
  </si>
  <si>
    <t>USADO</t>
  </si>
  <si>
    <t>INDUS/IAMN</t>
  </si>
  <si>
    <t>IMOB/IMP</t>
  </si>
  <si>
    <t>IMOB/NAC3</t>
  </si>
  <si>
    <t>UN</t>
  </si>
  <si>
    <t>Rio de Janeiro - RJ</t>
  </si>
  <si>
    <t>FASE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</si>
</sst>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0_ ;\-0\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1" xfId="0" applyBorder="1" applyAlignment="1">
      <alignment horizontal="center" vertical="center" wrapText="1"/>
    </xf>
    <xf numFmtId="164" fontId="0" fillId="0" borderId="1" xfId="1" applyFont="1" applyBorder="1" applyAlignment="1">
      <alignment horizontal="center" vertical="center" wrapText="1"/>
    </xf>
    <xf numFmtId="164" fontId="0" fillId="3" borderId="1" xfId="1" applyFont="1" applyFill="1" applyBorder="1" applyAlignment="1">
      <alignment horizontal="center" vertical="center" wrapText="1"/>
    </xf>
    <xf numFmtId="164" fontId="0" fillId="4" borderId="1" xfId="1" applyFont="1" applyFill="1" applyBorder="1" applyAlignment="1">
      <alignment horizontal="center" vertical="center" wrapText="1"/>
    </xf>
    <xf numFmtId="164" fontId="0" fillId="2" borderId="1" xfId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1" applyFont="1"/>
    <xf numFmtId="0" fontId="0" fillId="0" borderId="1" xfId="0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64" fontId="0" fillId="0" borderId="1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0" applyFont="1"/>
    <xf numFmtId="164" fontId="0" fillId="0" borderId="0" xfId="1" applyFont="1" applyAlignment="1">
      <alignment horizontal="center"/>
    </xf>
    <xf numFmtId="1" fontId="0" fillId="0" borderId="0" xfId="1" applyNumberFormat="1" applyFont="1"/>
    <xf numFmtId="9" fontId="0" fillId="0" borderId="0" xfId="2" applyFont="1" applyAlignment="1">
      <alignment horizontal="right"/>
    </xf>
    <xf numFmtId="1" fontId="2" fillId="7" borderId="0" xfId="0" applyNumberFormat="1" applyFont="1" applyFill="1" applyAlignment="1">
      <alignment horizontal="center"/>
    </xf>
    <xf numFmtId="1" fontId="2" fillId="8" borderId="2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/>
    </xf>
    <xf numFmtId="1" fontId="2" fillId="8" borderId="1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" fontId="3" fillId="9" borderId="3" xfId="1" applyNumberFormat="1" applyFont="1" applyFill="1" applyBorder="1" applyAlignment="1">
      <alignment horizontal="center" vertical="center"/>
    </xf>
    <xf numFmtId="1" fontId="3" fillId="9" borderId="4" xfId="1" applyNumberFormat="1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left" vertical="center"/>
    </xf>
    <xf numFmtId="164" fontId="3" fillId="9" borderId="1" xfId="1" applyFont="1" applyFill="1" applyBorder="1" applyAlignment="1">
      <alignment vertical="center"/>
    </xf>
    <xf numFmtId="164" fontId="0" fillId="10" borderId="1" xfId="1" applyFont="1" applyFill="1" applyBorder="1" applyAlignment="1">
      <alignment horizontal="center" vertical="center" wrapText="1"/>
    </xf>
    <xf numFmtId="164" fontId="0" fillId="10" borderId="1" xfId="1" applyFont="1" applyFill="1" applyBorder="1" applyAlignment="1">
      <alignment horizontal="left" vertical="center" wrapText="1"/>
    </xf>
    <xf numFmtId="9" fontId="0" fillId="10" borderId="1" xfId="2" applyFont="1" applyFill="1" applyBorder="1" applyAlignment="1">
      <alignment horizontal="center" vertical="center" wrapText="1"/>
    </xf>
    <xf numFmtId="1" fontId="0" fillId="10" borderId="1" xfId="2" applyNumberFormat="1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2" fillId="0" borderId="0" xfId="0" applyNumberFormat="1" applyFont="1" applyFill="1" applyAlignment="1">
      <alignment horizontal="center"/>
    </xf>
    <xf numFmtId="164" fontId="0" fillId="6" borderId="1" xfId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 wrapText="1"/>
    </xf>
    <xf numFmtId="164" fontId="4" fillId="11" borderId="1" xfId="1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164" fontId="0" fillId="12" borderId="1" xfId="1" applyFont="1" applyFill="1" applyBorder="1" applyAlignment="1">
      <alignment horizontal="center" vertical="center" wrapText="1"/>
    </xf>
    <xf numFmtId="0" fontId="0" fillId="6" borderId="0" xfId="0" applyFill="1"/>
    <xf numFmtId="9" fontId="0" fillId="0" borderId="2" xfId="2" applyFont="1" applyBorder="1" applyAlignment="1">
      <alignment horizontal="center" vertical="center" wrapText="1"/>
    </xf>
    <xf numFmtId="9" fontId="0" fillId="13" borderId="0" xfId="2" applyFont="1" applyFill="1" applyAlignment="1">
      <alignment horizontal="center"/>
    </xf>
    <xf numFmtId="10" fontId="0" fillId="2" borderId="1" xfId="2" applyNumberFormat="1" applyFont="1" applyFill="1" applyBorder="1" applyAlignment="1">
      <alignment horizontal="center" vertical="center" wrapText="1"/>
    </xf>
    <xf numFmtId="10" fontId="0" fillId="6" borderId="0" xfId="2" applyNumberFormat="1" applyFont="1" applyFill="1" applyAlignment="1">
      <alignment horizontal="center"/>
    </xf>
    <xf numFmtId="164" fontId="0" fillId="6" borderId="0" xfId="1" applyNumberFormat="1" applyFont="1" applyFill="1"/>
    <xf numFmtId="0" fontId="0" fillId="12" borderId="0" xfId="0" applyNumberFormat="1" applyFill="1"/>
    <xf numFmtId="0" fontId="0" fillId="0" borderId="0" xfId="0" applyNumberFormat="1"/>
    <xf numFmtId="165" fontId="3" fillId="9" borderId="1" xfId="3" applyNumberFormat="1" applyFont="1" applyFill="1" applyBorder="1" applyAlignment="1">
      <alignment horizontal="center" vertical="center"/>
    </xf>
    <xf numFmtId="9" fontId="0" fillId="0" borderId="0" xfId="0" applyNumberFormat="1"/>
    <xf numFmtId="0" fontId="0" fillId="0" borderId="0" xfId="0" applyFill="1"/>
    <xf numFmtId="0" fontId="0" fillId="0" borderId="0" xfId="0"/>
    <xf numFmtId="0" fontId="0" fillId="6" borderId="0" xfId="0" applyFill="1"/>
    <xf numFmtId="9" fontId="0" fillId="13" borderId="0" xfId="2" applyFont="1" applyFill="1" applyAlignment="1">
      <alignment horizontal="center"/>
    </xf>
    <xf numFmtId="10" fontId="0" fillId="6" borderId="0" xfId="2" applyNumberFormat="1" applyFont="1" applyFill="1" applyAlignment="1">
      <alignment horizontal="center"/>
    </xf>
    <xf numFmtId="0" fontId="0" fillId="12" borderId="0" xfId="0" applyNumberFormat="1" applyFill="1"/>
    <xf numFmtId="0" fontId="0" fillId="0" borderId="0" xfId="0" applyNumberFormat="1"/>
    <xf numFmtId="0" fontId="7" fillId="7" borderId="0" xfId="0" applyFont="1" applyFill="1" applyAlignment="1">
      <alignment horizontal="center"/>
    </xf>
    <xf numFmtId="0" fontId="8" fillId="7" borderId="0" xfId="0" applyFont="1" applyFill="1" applyAlignment="1">
      <alignment horizontal="right"/>
    </xf>
    <xf numFmtId="164" fontId="8" fillId="7" borderId="0" xfId="0" applyNumberFormat="1" applyFont="1" applyFill="1" applyAlignment="1">
      <alignment horizontal="right"/>
    </xf>
    <xf numFmtId="0" fontId="0" fillId="0" borderId="5" xfId="0" applyBorder="1"/>
    <xf numFmtId="1" fontId="2" fillId="7" borderId="5" xfId="0" applyNumberFormat="1" applyFont="1" applyFill="1" applyBorder="1" applyAlignment="1">
      <alignment horizontal="center"/>
    </xf>
  </cellXfs>
  <cellStyles count="6">
    <cellStyle name="Moeda" xfId="1" builtinId="4"/>
    <cellStyle name="Moeda 2" xfId="4"/>
    <cellStyle name="Normal" xfId="0" builtinId="0"/>
    <cellStyle name="Porcentagem" xfId="2" builtinId="5"/>
    <cellStyle name="Vírgula" xfId="3" builtinId="3"/>
    <cellStyle name="Vírgula 2" xfId="5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rgb="FF92D050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</font>
      <numFmt numFmtId="1" formatCode="0"/>
      <fill>
        <patternFill patternType="solid">
          <fgColor indexed="64"/>
          <bgColor rgb="FF92D050"/>
        </patternFill>
      </fill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  <alignment horizontal="center" textRotation="0" indent="0" justifyLastLine="0" shrinkToFit="0" readingOrder="0"/>
    </dxf>
    <dxf>
      <numFmt numFmtId="0" formatCode="General"/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7" tint="0.39997558519241921"/>
        </patternFill>
      </fill>
    </dxf>
    <dxf>
      <numFmt numFmtId="14" formatCode="0.00%"/>
      <fill>
        <patternFill patternType="solid">
          <fgColor indexed="64"/>
          <bgColor theme="7" tint="0.39997558519241921"/>
        </patternFill>
      </fill>
      <alignment horizontal="center" textRotation="0" indent="0" justifyLastLine="0" shrinkToFit="0" readingOrder="0"/>
    </dxf>
    <dxf>
      <numFmt numFmtId="164" formatCode="_-&quot;R$&quot;\ * #,##0.00_-;\-&quot;R$&quot;\ * #,##0.00_-;_-&quot;R$&quot;\ * &quot;-&quot;??_-;_-@_-"/>
      <fill>
        <patternFill patternType="solid">
          <fgColor indexed="64"/>
          <bgColor theme="7" tint="0.39997558519241921"/>
        </patternFill>
      </fill>
    </dxf>
    <dxf>
      <numFmt numFmtId="164" formatCode="_-&quot;R$&quot;\ * #,##0.00_-;\-&quot;R$&quot;\ * #,##0.00_-;_-&quot;R$&quot;\ * &quot;-&quot;??_-;_-@_-"/>
      <fill>
        <patternFill patternType="solid">
          <fgColor indexed="64"/>
          <bgColor theme="7" tint="0.3999755851924192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font>
        <b/>
      </font>
      <alignment horizontal="center" vertical="center" textRotation="0" indent="0" justifyLastLine="0" shrinkToFit="0" readingOrder="0"/>
    </dxf>
    <dxf>
      <font>
        <b/>
      </font>
      <numFmt numFmtId="1" formatCode="0"/>
      <fill>
        <patternFill patternType="solid">
          <fgColor indexed="64"/>
          <bgColor rgb="FF92D050"/>
        </patternFill>
      </fill>
      <alignment horizontal="center" textRotation="0" indent="0" justifyLastLine="0" shrinkToFit="0" readingOrder="0"/>
    </dxf>
    <dxf>
      <font>
        <b/>
      </font>
      <fill>
        <patternFill>
          <fgColor indexed="64"/>
          <bgColor rgb="FFFFFF00"/>
        </patternFill>
      </fill>
      <alignment horizontal="center" textRotation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trobras.biz\petrobras\LOEP\LOEP_LON_GOPI\NP-2\01.%20SAM\5.%20Aliena&#231;&#227;o%20de%20Inserv&#237;veis%20PETROBRAS\2020\04.%20Envio%20para%20Leil&#227;o%20SUPERBID\FASE%203%20-%20Ger&#234;ncia\Leil&#227;o%20SUPERBID%20-%20FASE%203%20-%20Consolidado%20corre&#231;&#227;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DOS ITENS"/>
      <sheetName val="SOBRE_EMP"/>
      <sheetName val="RESUMO - LOTES E VMA"/>
    </sheetNames>
    <sheetDataSet>
      <sheetData sheetId="0">
        <row r="1">
          <cell r="D1" t="str">
            <v>Lote</v>
          </cell>
        </row>
        <row r="2">
          <cell r="D2">
            <v>203712</v>
          </cell>
        </row>
        <row r="3">
          <cell r="D3">
            <v>203713</v>
          </cell>
        </row>
        <row r="4">
          <cell r="D4">
            <v>203714</v>
          </cell>
        </row>
        <row r="5">
          <cell r="D5">
            <v>203715</v>
          </cell>
        </row>
        <row r="6">
          <cell r="D6">
            <v>203716</v>
          </cell>
        </row>
        <row r="7">
          <cell r="D7">
            <v>203717</v>
          </cell>
        </row>
        <row r="8">
          <cell r="D8">
            <v>203717</v>
          </cell>
        </row>
        <row r="9">
          <cell r="D9">
            <v>203717</v>
          </cell>
        </row>
        <row r="10">
          <cell r="D10">
            <v>203717</v>
          </cell>
        </row>
        <row r="11">
          <cell r="D11">
            <v>203717</v>
          </cell>
        </row>
        <row r="12">
          <cell r="D12">
            <v>203717</v>
          </cell>
        </row>
        <row r="13">
          <cell r="D13">
            <v>203717</v>
          </cell>
        </row>
        <row r="14">
          <cell r="D14">
            <v>203717</v>
          </cell>
        </row>
        <row r="15">
          <cell r="D15">
            <v>203717</v>
          </cell>
        </row>
        <row r="16">
          <cell r="D16">
            <v>203717</v>
          </cell>
        </row>
        <row r="17">
          <cell r="D17">
            <v>203718</v>
          </cell>
        </row>
        <row r="18">
          <cell r="D18">
            <v>203719</v>
          </cell>
        </row>
        <row r="19">
          <cell r="D19">
            <v>203719</v>
          </cell>
        </row>
        <row r="20">
          <cell r="D20">
            <v>203719</v>
          </cell>
        </row>
        <row r="21">
          <cell r="D21">
            <v>203720</v>
          </cell>
        </row>
        <row r="22">
          <cell r="D22">
            <v>203721</v>
          </cell>
        </row>
        <row r="23">
          <cell r="D23">
            <v>203722</v>
          </cell>
        </row>
        <row r="24">
          <cell r="D24">
            <v>203723</v>
          </cell>
        </row>
        <row r="25">
          <cell r="D25">
            <v>203724</v>
          </cell>
        </row>
        <row r="26">
          <cell r="D26">
            <v>203724</v>
          </cell>
        </row>
        <row r="27">
          <cell r="D27">
            <v>203724</v>
          </cell>
        </row>
        <row r="28">
          <cell r="D28">
            <v>203724</v>
          </cell>
        </row>
        <row r="29">
          <cell r="D29">
            <v>203724</v>
          </cell>
        </row>
        <row r="30">
          <cell r="D30">
            <v>203724</v>
          </cell>
        </row>
        <row r="31">
          <cell r="D31">
            <v>203724</v>
          </cell>
        </row>
        <row r="32">
          <cell r="D32">
            <v>203724</v>
          </cell>
        </row>
        <row r="33">
          <cell r="D33">
            <v>203724</v>
          </cell>
        </row>
        <row r="34">
          <cell r="D34">
            <v>203724</v>
          </cell>
        </row>
        <row r="35">
          <cell r="D35">
            <v>203724</v>
          </cell>
        </row>
        <row r="36">
          <cell r="D36">
            <v>203724</v>
          </cell>
        </row>
        <row r="37">
          <cell r="D37">
            <v>203724</v>
          </cell>
        </row>
        <row r="38">
          <cell r="D38">
            <v>203724</v>
          </cell>
        </row>
        <row r="39">
          <cell r="D39">
            <v>203725</v>
          </cell>
        </row>
        <row r="40">
          <cell r="D40">
            <v>203726</v>
          </cell>
        </row>
        <row r="41">
          <cell r="D41">
            <v>203727</v>
          </cell>
        </row>
        <row r="42">
          <cell r="D42">
            <v>203727</v>
          </cell>
        </row>
        <row r="43">
          <cell r="D43">
            <v>203727</v>
          </cell>
        </row>
        <row r="44">
          <cell r="D44">
            <v>203728</v>
          </cell>
        </row>
        <row r="45">
          <cell r="D45">
            <v>203728</v>
          </cell>
        </row>
        <row r="46">
          <cell r="D46">
            <v>203728</v>
          </cell>
        </row>
        <row r="47">
          <cell r="D47">
            <v>203728</v>
          </cell>
        </row>
        <row r="48">
          <cell r="D48">
            <v>203728</v>
          </cell>
        </row>
        <row r="49">
          <cell r="D49">
            <v>203728</v>
          </cell>
        </row>
        <row r="50">
          <cell r="D50">
            <v>203728</v>
          </cell>
        </row>
        <row r="51">
          <cell r="D51">
            <v>203729</v>
          </cell>
        </row>
        <row r="52">
          <cell r="D52">
            <v>203730</v>
          </cell>
        </row>
        <row r="53">
          <cell r="D53">
            <v>203731</v>
          </cell>
        </row>
        <row r="54">
          <cell r="D54">
            <v>203732</v>
          </cell>
        </row>
        <row r="55">
          <cell r="D55">
            <v>203733</v>
          </cell>
        </row>
        <row r="56">
          <cell r="D56">
            <v>203733</v>
          </cell>
        </row>
        <row r="57">
          <cell r="D57">
            <v>203734</v>
          </cell>
        </row>
        <row r="58">
          <cell r="D58">
            <v>203734</v>
          </cell>
        </row>
        <row r="59">
          <cell r="D59">
            <v>203734</v>
          </cell>
        </row>
        <row r="60">
          <cell r="D60">
            <v>203734</v>
          </cell>
        </row>
        <row r="61">
          <cell r="D61">
            <v>203735</v>
          </cell>
        </row>
        <row r="62">
          <cell r="D62">
            <v>203736</v>
          </cell>
        </row>
        <row r="63">
          <cell r="D63">
            <v>203737</v>
          </cell>
        </row>
        <row r="64">
          <cell r="D64">
            <v>203738</v>
          </cell>
        </row>
        <row r="65">
          <cell r="D65">
            <v>203738</v>
          </cell>
        </row>
        <row r="66">
          <cell r="D66">
            <v>203739</v>
          </cell>
        </row>
        <row r="67">
          <cell r="D67">
            <v>203740</v>
          </cell>
        </row>
        <row r="68">
          <cell r="D68">
            <v>203741</v>
          </cell>
        </row>
        <row r="69">
          <cell r="D69">
            <v>203741</v>
          </cell>
        </row>
        <row r="70">
          <cell r="D70">
            <v>203742</v>
          </cell>
        </row>
        <row r="71">
          <cell r="D71">
            <v>203742</v>
          </cell>
        </row>
        <row r="72">
          <cell r="D72">
            <v>203742</v>
          </cell>
        </row>
        <row r="73">
          <cell r="D73">
            <v>203742</v>
          </cell>
        </row>
        <row r="74">
          <cell r="D74">
            <v>203743</v>
          </cell>
        </row>
        <row r="75">
          <cell r="D75">
            <v>203744</v>
          </cell>
        </row>
        <row r="76">
          <cell r="D76">
            <v>203744</v>
          </cell>
        </row>
        <row r="77">
          <cell r="D77">
            <v>203744</v>
          </cell>
        </row>
        <row r="78">
          <cell r="D78">
            <v>203744</v>
          </cell>
        </row>
        <row r="79">
          <cell r="D79">
            <v>203744</v>
          </cell>
        </row>
        <row r="80">
          <cell r="D80">
            <v>203744</v>
          </cell>
        </row>
        <row r="81">
          <cell r="D81">
            <v>203744</v>
          </cell>
        </row>
        <row r="82">
          <cell r="D82">
            <v>203744</v>
          </cell>
        </row>
        <row r="83">
          <cell r="D83">
            <v>203744</v>
          </cell>
        </row>
        <row r="84">
          <cell r="D84">
            <v>203744</v>
          </cell>
        </row>
        <row r="85">
          <cell r="D85">
            <v>203744</v>
          </cell>
        </row>
        <row r="86">
          <cell r="D86">
            <v>203745</v>
          </cell>
        </row>
        <row r="87">
          <cell r="D87">
            <v>203746</v>
          </cell>
        </row>
        <row r="88">
          <cell r="D88">
            <v>203747</v>
          </cell>
        </row>
        <row r="89">
          <cell r="D89">
            <v>203747</v>
          </cell>
        </row>
        <row r="90">
          <cell r="D90">
            <v>203747</v>
          </cell>
        </row>
        <row r="91">
          <cell r="D91">
            <v>203747</v>
          </cell>
        </row>
        <row r="92">
          <cell r="D92">
            <v>203747</v>
          </cell>
        </row>
        <row r="93">
          <cell r="D93">
            <v>203747</v>
          </cell>
        </row>
        <row r="94">
          <cell r="D94">
            <v>203747</v>
          </cell>
        </row>
        <row r="95">
          <cell r="D95">
            <v>203747</v>
          </cell>
        </row>
        <row r="96">
          <cell r="D96">
            <v>203747</v>
          </cell>
        </row>
        <row r="97">
          <cell r="D97">
            <v>203748</v>
          </cell>
        </row>
        <row r="98">
          <cell r="D98">
            <v>203748</v>
          </cell>
        </row>
        <row r="99">
          <cell r="D99">
            <v>203748</v>
          </cell>
        </row>
        <row r="100">
          <cell r="D100">
            <v>203748</v>
          </cell>
        </row>
        <row r="101">
          <cell r="D101">
            <v>203748</v>
          </cell>
        </row>
        <row r="102">
          <cell r="D102">
            <v>203748</v>
          </cell>
        </row>
        <row r="103">
          <cell r="D103">
            <v>203748</v>
          </cell>
        </row>
        <row r="104">
          <cell r="D104">
            <v>203748</v>
          </cell>
        </row>
        <row r="105">
          <cell r="D105">
            <v>203748</v>
          </cell>
        </row>
        <row r="106">
          <cell r="D106">
            <v>203748</v>
          </cell>
        </row>
        <row r="107">
          <cell r="D107">
            <v>203748</v>
          </cell>
        </row>
        <row r="108">
          <cell r="D108">
            <v>203748</v>
          </cell>
        </row>
        <row r="109">
          <cell r="D109">
            <v>203749</v>
          </cell>
        </row>
        <row r="110">
          <cell r="D110">
            <v>203749</v>
          </cell>
        </row>
        <row r="111">
          <cell r="D111">
            <v>203749</v>
          </cell>
        </row>
        <row r="112">
          <cell r="D112">
            <v>203749</v>
          </cell>
        </row>
        <row r="113">
          <cell r="D113">
            <v>203749</v>
          </cell>
        </row>
        <row r="114">
          <cell r="D114">
            <v>203750</v>
          </cell>
        </row>
        <row r="115">
          <cell r="D115">
            <v>203750</v>
          </cell>
        </row>
        <row r="116">
          <cell r="D116">
            <v>203750</v>
          </cell>
        </row>
        <row r="117">
          <cell r="D117">
            <v>203751</v>
          </cell>
        </row>
        <row r="118">
          <cell r="D118">
            <v>203752</v>
          </cell>
        </row>
        <row r="119">
          <cell r="D119">
            <v>203753</v>
          </cell>
        </row>
        <row r="120">
          <cell r="D120">
            <v>203754</v>
          </cell>
        </row>
        <row r="121">
          <cell r="D121">
            <v>203754</v>
          </cell>
        </row>
        <row r="122">
          <cell r="D122">
            <v>203755</v>
          </cell>
        </row>
        <row r="123">
          <cell r="D123">
            <v>203756</v>
          </cell>
        </row>
        <row r="124">
          <cell r="D124">
            <v>203757</v>
          </cell>
        </row>
        <row r="125">
          <cell r="D125">
            <v>203757</v>
          </cell>
        </row>
        <row r="126">
          <cell r="D126">
            <v>203758</v>
          </cell>
        </row>
        <row r="127">
          <cell r="D127">
            <v>203758</v>
          </cell>
        </row>
        <row r="128">
          <cell r="D128">
            <v>203759</v>
          </cell>
        </row>
        <row r="129">
          <cell r="D129">
            <v>203759</v>
          </cell>
        </row>
        <row r="130">
          <cell r="D130">
            <v>203760</v>
          </cell>
        </row>
        <row r="131">
          <cell r="D131">
            <v>203760</v>
          </cell>
        </row>
        <row r="132">
          <cell r="D132">
            <v>203760</v>
          </cell>
        </row>
        <row r="133">
          <cell r="D133">
            <v>203761</v>
          </cell>
        </row>
        <row r="134">
          <cell r="D134">
            <v>203761</v>
          </cell>
        </row>
        <row r="135">
          <cell r="D135">
            <v>203762</v>
          </cell>
        </row>
        <row r="136">
          <cell r="D136">
            <v>203762</v>
          </cell>
        </row>
        <row r="137">
          <cell r="D137">
            <v>203762</v>
          </cell>
        </row>
        <row r="138">
          <cell r="D138">
            <v>203762</v>
          </cell>
        </row>
        <row r="139">
          <cell r="D139">
            <v>203762</v>
          </cell>
        </row>
        <row r="140">
          <cell r="D140">
            <v>203762</v>
          </cell>
        </row>
        <row r="141">
          <cell r="D141">
            <v>203762</v>
          </cell>
        </row>
        <row r="142">
          <cell r="D142">
            <v>203762</v>
          </cell>
        </row>
        <row r="143">
          <cell r="D143">
            <v>203762</v>
          </cell>
        </row>
        <row r="144">
          <cell r="D144">
            <v>203762</v>
          </cell>
        </row>
        <row r="145">
          <cell r="D145">
            <v>203762</v>
          </cell>
        </row>
        <row r="146">
          <cell r="D146">
            <v>203762</v>
          </cell>
        </row>
        <row r="147">
          <cell r="D147">
            <v>203762</v>
          </cell>
        </row>
        <row r="148">
          <cell r="D148">
            <v>203762</v>
          </cell>
        </row>
        <row r="149">
          <cell r="D149">
            <v>203762</v>
          </cell>
        </row>
        <row r="150">
          <cell r="D150">
            <v>203762</v>
          </cell>
        </row>
        <row r="151">
          <cell r="D151">
            <v>203762</v>
          </cell>
        </row>
        <row r="152">
          <cell r="D152">
            <v>203762</v>
          </cell>
        </row>
        <row r="153">
          <cell r="D153">
            <v>203762</v>
          </cell>
        </row>
        <row r="154">
          <cell r="D154">
            <v>203762</v>
          </cell>
        </row>
        <row r="155">
          <cell r="D155">
            <v>203762</v>
          </cell>
        </row>
        <row r="156">
          <cell r="D156">
            <v>203762</v>
          </cell>
        </row>
        <row r="157">
          <cell r="D157">
            <v>203762</v>
          </cell>
        </row>
        <row r="158">
          <cell r="D158">
            <v>203762</v>
          </cell>
        </row>
        <row r="159">
          <cell r="D159">
            <v>203762</v>
          </cell>
        </row>
        <row r="160">
          <cell r="D160">
            <v>203762</v>
          </cell>
        </row>
        <row r="161">
          <cell r="D161">
            <v>203762</v>
          </cell>
        </row>
        <row r="162">
          <cell r="D162">
            <v>203762</v>
          </cell>
        </row>
        <row r="163">
          <cell r="D163">
            <v>203762</v>
          </cell>
        </row>
        <row r="164">
          <cell r="D164">
            <v>203762</v>
          </cell>
        </row>
        <row r="165">
          <cell r="D165">
            <v>203762</v>
          </cell>
        </row>
        <row r="166">
          <cell r="D166">
            <v>203762</v>
          </cell>
        </row>
        <row r="167">
          <cell r="D167">
            <v>203762</v>
          </cell>
        </row>
        <row r="168">
          <cell r="D168">
            <v>203762</v>
          </cell>
        </row>
        <row r="169">
          <cell r="D169">
            <v>203762</v>
          </cell>
        </row>
        <row r="170">
          <cell r="D170">
            <v>203762</v>
          </cell>
        </row>
        <row r="171">
          <cell r="D171">
            <v>203762</v>
          </cell>
        </row>
        <row r="172">
          <cell r="D172">
            <v>203762</v>
          </cell>
        </row>
        <row r="173">
          <cell r="D173">
            <v>203762</v>
          </cell>
        </row>
        <row r="174">
          <cell r="D174">
            <v>203762</v>
          </cell>
        </row>
        <row r="175">
          <cell r="D175">
            <v>203762</v>
          </cell>
        </row>
        <row r="176">
          <cell r="D176">
            <v>203762</v>
          </cell>
        </row>
        <row r="177">
          <cell r="D177">
            <v>203762</v>
          </cell>
        </row>
        <row r="178">
          <cell r="D178">
            <v>203762</v>
          </cell>
        </row>
        <row r="179">
          <cell r="D179">
            <v>203762</v>
          </cell>
        </row>
        <row r="180">
          <cell r="D180">
            <v>203762</v>
          </cell>
        </row>
        <row r="181">
          <cell r="D181">
            <v>203762</v>
          </cell>
        </row>
        <row r="182">
          <cell r="D182">
            <v>203762</v>
          </cell>
        </row>
        <row r="183">
          <cell r="D183">
            <v>203762</v>
          </cell>
        </row>
        <row r="184">
          <cell r="D184">
            <v>203762</v>
          </cell>
        </row>
        <row r="185">
          <cell r="D185">
            <v>203762</v>
          </cell>
        </row>
        <row r="186">
          <cell r="D186">
            <v>203762</v>
          </cell>
        </row>
        <row r="187">
          <cell r="D187">
            <v>203762</v>
          </cell>
        </row>
        <row r="188">
          <cell r="D188">
            <v>203762</v>
          </cell>
        </row>
        <row r="189">
          <cell r="D189">
            <v>203762</v>
          </cell>
        </row>
        <row r="190">
          <cell r="D190">
            <v>203762</v>
          </cell>
        </row>
        <row r="191">
          <cell r="D191">
            <v>203762</v>
          </cell>
        </row>
        <row r="192">
          <cell r="D192">
            <v>203762</v>
          </cell>
        </row>
        <row r="193">
          <cell r="D193">
            <v>203762</v>
          </cell>
        </row>
        <row r="194">
          <cell r="D194">
            <v>203762</v>
          </cell>
        </row>
        <row r="195">
          <cell r="D195">
            <v>203762</v>
          </cell>
        </row>
        <row r="196">
          <cell r="D196">
            <v>203762</v>
          </cell>
        </row>
        <row r="197">
          <cell r="D197">
            <v>203762</v>
          </cell>
        </row>
        <row r="198">
          <cell r="D198">
            <v>203762</v>
          </cell>
        </row>
        <row r="199">
          <cell r="D199">
            <v>203762</v>
          </cell>
        </row>
        <row r="200">
          <cell r="D200">
            <v>203762</v>
          </cell>
        </row>
        <row r="201">
          <cell r="D201">
            <v>203762</v>
          </cell>
        </row>
        <row r="202">
          <cell r="D202">
            <v>203762</v>
          </cell>
        </row>
        <row r="203">
          <cell r="D203">
            <v>203762</v>
          </cell>
        </row>
        <row r="204">
          <cell r="D204">
            <v>203762</v>
          </cell>
        </row>
        <row r="205">
          <cell r="D205">
            <v>203762</v>
          </cell>
        </row>
        <row r="206">
          <cell r="D206">
            <v>203762</v>
          </cell>
        </row>
        <row r="207">
          <cell r="D207">
            <v>203762</v>
          </cell>
        </row>
        <row r="208">
          <cell r="D208">
            <v>203762</v>
          </cell>
        </row>
        <row r="209">
          <cell r="D209">
            <v>203762</v>
          </cell>
        </row>
        <row r="210">
          <cell r="D210">
            <v>203762</v>
          </cell>
        </row>
        <row r="211">
          <cell r="D211">
            <v>203762</v>
          </cell>
        </row>
        <row r="212">
          <cell r="D212">
            <v>203762</v>
          </cell>
        </row>
        <row r="213">
          <cell r="D213">
            <v>203762</v>
          </cell>
        </row>
        <row r="214">
          <cell r="D214">
            <v>203762</v>
          </cell>
        </row>
        <row r="215">
          <cell r="D215">
            <v>203763</v>
          </cell>
        </row>
        <row r="216">
          <cell r="D216">
            <v>203763</v>
          </cell>
        </row>
        <row r="217">
          <cell r="D217">
            <v>203763</v>
          </cell>
        </row>
        <row r="218">
          <cell r="D218">
            <v>203763</v>
          </cell>
        </row>
        <row r="219">
          <cell r="D219">
            <v>203763</v>
          </cell>
        </row>
        <row r="220">
          <cell r="D220">
            <v>203763</v>
          </cell>
        </row>
        <row r="221">
          <cell r="D221">
            <v>203763</v>
          </cell>
        </row>
        <row r="222">
          <cell r="D222">
            <v>203763</v>
          </cell>
        </row>
        <row r="223">
          <cell r="D223">
            <v>203763</v>
          </cell>
        </row>
        <row r="224">
          <cell r="D224">
            <v>203763</v>
          </cell>
        </row>
        <row r="225">
          <cell r="D225">
            <v>203763</v>
          </cell>
        </row>
        <row r="226">
          <cell r="D226">
            <v>203763</v>
          </cell>
        </row>
        <row r="227">
          <cell r="D227">
            <v>203763</v>
          </cell>
        </row>
        <row r="228">
          <cell r="D228">
            <v>203763</v>
          </cell>
        </row>
        <row r="229">
          <cell r="D229">
            <v>203763</v>
          </cell>
        </row>
        <row r="230">
          <cell r="D230">
            <v>203763</v>
          </cell>
        </row>
        <row r="231">
          <cell r="D231">
            <v>203763</v>
          </cell>
        </row>
        <row r="232">
          <cell r="D232">
            <v>203763</v>
          </cell>
        </row>
        <row r="233">
          <cell r="D233">
            <v>203763</v>
          </cell>
        </row>
        <row r="234">
          <cell r="D234">
            <v>203763</v>
          </cell>
        </row>
        <row r="235">
          <cell r="D235">
            <v>203763</v>
          </cell>
        </row>
        <row r="236">
          <cell r="D236">
            <v>203763</v>
          </cell>
        </row>
        <row r="237">
          <cell r="D237">
            <v>203763</v>
          </cell>
        </row>
        <row r="238">
          <cell r="D238">
            <v>203763</v>
          </cell>
        </row>
        <row r="239">
          <cell r="D239">
            <v>203763</v>
          </cell>
        </row>
        <row r="240">
          <cell r="D240">
            <v>203763</v>
          </cell>
        </row>
        <row r="241">
          <cell r="D241">
            <v>203763</v>
          </cell>
        </row>
        <row r="242">
          <cell r="D242">
            <v>203763</v>
          </cell>
        </row>
        <row r="243">
          <cell r="D243">
            <v>203763</v>
          </cell>
        </row>
        <row r="244">
          <cell r="D244">
            <v>203763</v>
          </cell>
        </row>
        <row r="245">
          <cell r="D245">
            <v>203763</v>
          </cell>
        </row>
        <row r="246">
          <cell r="D246">
            <v>203763</v>
          </cell>
        </row>
        <row r="247">
          <cell r="D247">
            <v>203763</v>
          </cell>
        </row>
        <row r="248">
          <cell r="D248">
            <v>203763</v>
          </cell>
        </row>
        <row r="249">
          <cell r="D249">
            <v>203763</v>
          </cell>
        </row>
        <row r="250">
          <cell r="D250">
            <v>203763</v>
          </cell>
        </row>
        <row r="251">
          <cell r="D251">
            <v>203763</v>
          </cell>
        </row>
        <row r="252">
          <cell r="D252">
            <v>203763</v>
          </cell>
        </row>
        <row r="253">
          <cell r="D253">
            <v>203763</v>
          </cell>
        </row>
        <row r="254">
          <cell r="D254">
            <v>203763</v>
          </cell>
        </row>
        <row r="255">
          <cell r="D255">
            <v>203763</v>
          </cell>
        </row>
        <row r="256">
          <cell r="D256">
            <v>203763</v>
          </cell>
        </row>
        <row r="257">
          <cell r="D257">
            <v>203763</v>
          </cell>
        </row>
        <row r="258">
          <cell r="D258">
            <v>203763</v>
          </cell>
        </row>
        <row r="259">
          <cell r="D259">
            <v>203763</v>
          </cell>
        </row>
        <row r="260">
          <cell r="D260">
            <v>203763</v>
          </cell>
        </row>
        <row r="261">
          <cell r="D261">
            <v>203763</v>
          </cell>
        </row>
        <row r="262">
          <cell r="D262">
            <v>203763</v>
          </cell>
        </row>
        <row r="263">
          <cell r="D263">
            <v>203763</v>
          </cell>
        </row>
        <row r="264">
          <cell r="D264">
            <v>203763</v>
          </cell>
        </row>
        <row r="265">
          <cell r="D265">
            <v>203763</v>
          </cell>
        </row>
        <row r="266">
          <cell r="D266">
            <v>203763</v>
          </cell>
        </row>
        <row r="267">
          <cell r="D267">
            <v>203763</v>
          </cell>
        </row>
        <row r="268">
          <cell r="D268">
            <v>203763</v>
          </cell>
        </row>
        <row r="269">
          <cell r="D269">
            <v>203763</v>
          </cell>
        </row>
        <row r="270">
          <cell r="D270">
            <v>203763</v>
          </cell>
        </row>
        <row r="271">
          <cell r="D271">
            <v>203763</v>
          </cell>
        </row>
        <row r="272">
          <cell r="D272">
            <v>203763</v>
          </cell>
        </row>
        <row r="273">
          <cell r="D273">
            <v>203763</v>
          </cell>
        </row>
        <row r="274">
          <cell r="D274">
            <v>203763</v>
          </cell>
        </row>
        <row r="275">
          <cell r="D275">
            <v>203763</v>
          </cell>
        </row>
        <row r="276">
          <cell r="D276">
            <v>203763</v>
          </cell>
        </row>
        <row r="277">
          <cell r="D277">
            <v>203763</v>
          </cell>
        </row>
        <row r="278">
          <cell r="D278">
            <v>203763</v>
          </cell>
        </row>
        <row r="279">
          <cell r="D279">
            <v>203763</v>
          </cell>
        </row>
        <row r="280">
          <cell r="D280">
            <v>203763</v>
          </cell>
        </row>
        <row r="281">
          <cell r="D281">
            <v>203763</v>
          </cell>
        </row>
        <row r="282">
          <cell r="D282">
            <v>203763</v>
          </cell>
        </row>
        <row r="283">
          <cell r="D283">
            <v>203763</v>
          </cell>
        </row>
        <row r="284">
          <cell r="D284">
            <v>203763</v>
          </cell>
        </row>
        <row r="285">
          <cell r="D285">
            <v>203763</v>
          </cell>
        </row>
        <row r="286">
          <cell r="D286">
            <v>203763</v>
          </cell>
        </row>
        <row r="287">
          <cell r="D287">
            <v>203763</v>
          </cell>
        </row>
        <row r="288">
          <cell r="D288">
            <v>203763</v>
          </cell>
        </row>
        <row r="289">
          <cell r="D289">
            <v>203763</v>
          </cell>
        </row>
        <row r="290">
          <cell r="D290">
            <v>203763</v>
          </cell>
        </row>
        <row r="291">
          <cell r="D291">
            <v>203763</v>
          </cell>
        </row>
        <row r="292">
          <cell r="D292">
            <v>203763</v>
          </cell>
        </row>
        <row r="293">
          <cell r="D293">
            <v>203764</v>
          </cell>
        </row>
        <row r="294">
          <cell r="D294">
            <v>203764</v>
          </cell>
        </row>
        <row r="295">
          <cell r="D295">
            <v>203765</v>
          </cell>
        </row>
        <row r="296">
          <cell r="D296">
            <v>203765</v>
          </cell>
        </row>
        <row r="297">
          <cell r="D297">
            <v>203765</v>
          </cell>
        </row>
        <row r="298">
          <cell r="D298">
            <v>203766</v>
          </cell>
        </row>
        <row r="299">
          <cell r="D299">
            <v>203767</v>
          </cell>
        </row>
        <row r="300">
          <cell r="D300">
            <v>203768</v>
          </cell>
        </row>
        <row r="301">
          <cell r="D301">
            <v>203768</v>
          </cell>
        </row>
        <row r="302">
          <cell r="D302">
            <v>203769</v>
          </cell>
        </row>
        <row r="303">
          <cell r="D303">
            <v>203769</v>
          </cell>
        </row>
        <row r="304">
          <cell r="D304">
            <v>203770</v>
          </cell>
        </row>
        <row r="305">
          <cell r="D305">
            <v>203771</v>
          </cell>
        </row>
        <row r="306">
          <cell r="D306">
            <v>203771</v>
          </cell>
        </row>
        <row r="307">
          <cell r="D307">
            <v>203771</v>
          </cell>
        </row>
        <row r="308">
          <cell r="D308">
            <v>203772</v>
          </cell>
        </row>
        <row r="309">
          <cell r="D309">
            <v>203772</v>
          </cell>
        </row>
        <row r="310">
          <cell r="D310">
            <v>203773</v>
          </cell>
        </row>
        <row r="311">
          <cell r="D311">
            <v>203774</v>
          </cell>
        </row>
        <row r="312">
          <cell r="D312">
            <v>203775</v>
          </cell>
        </row>
        <row r="313">
          <cell r="D313">
            <v>203776</v>
          </cell>
        </row>
        <row r="314">
          <cell r="D314">
            <v>203776</v>
          </cell>
        </row>
        <row r="315">
          <cell r="D315">
            <v>203776</v>
          </cell>
        </row>
        <row r="316">
          <cell r="D316">
            <v>203777</v>
          </cell>
        </row>
        <row r="317">
          <cell r="D317">
            <v>203778</v>
          </cell>
        </row>
        <row r="318">
          <cell r="D318">
            <v>203779</v>
          </cell>
        </row>
        <row r="319">
          <cell r="D319">
            <v>203779</v>
          </cell>
        </row>
        <row r="320">
          <cell r="D320">
            <v>203779</v>
          </cell>
        </row>
        <row r="321">
          <cell r="D321">
            <v>203780</v>
          </cell>
        </row>
        <row r="322">
          <cell r="D322">
            <v>203780</v>
          </cell>
        </row>
        <row r="323">
          <cell r="D323">
            <v>203780</v>
          </cell>
        </row>
        <row r="324">
          <cell r="D324">
            <v>203781</v>
          </cell>
        </row>
        <row r="325">
          <cell r="D325">
            <v>203782</v>
          </cell>
        </row>
        <row r="326">
          <cell r="D326">
            <v>203782</v>
          </cell>
        </row>
        <row r="327">
          <cell r="D327">
            <v>203783</v>
          </cell>
        </row>
        <row r="328">
          <cell r="D328">
            <v>203783</v>
          </cell>
        </row>
        <row r="329">
          <cell r="D329">
            <v>203783</v>
          </cell>
        </row>
        <row r="330">
          <cell r="D330">
            <v>203784</v>
          </cell>
        </row>
        <row r="331">
          <cell r="D331">
            <v>203785</v>
          </cell>
        </row>
        <row r="332">
          <cell r="D332">
            <v>203785</v>
          </cell>
        </row>
        <row r="333">
          <cell r="D333">
            <v>203786</v>
          </cell>
        </row>
        <row r="334">
          <cell r="D334">
            <v>203786</v>
          </cell>
        </row>
        <row r="335">
          <cell r="D335">
            <v>203786</v>
          </cell>
        </row>
        <row r="336">
          <cell r="D336">
            <v>203786</v>
          </cell>
        </row>
        <row r="337">
          <cell r="D337">
            <v>203787</v>
          </cell>
        </row>
        <row r="338">
          <cell r="D338">
            <v>203787</v>
          </cell>
        </row>
        <row r="339">
          <cell r="D339">
            <v>203787</v>
          </cell>
        </row>
        <row r="340">
          <cell r="D340">
            <v>203787</v>
          </cell>
        </row>
        <row r="341">
          <cell r="D341">
            <v>203787</v>
          </cell>
        </row>
        <row r="342">
          <cell r="D342">
            <v>203788</v>
          </cell>
        </row>
        <row r="343">
          <cell r="D343">
            <v>203788</v>
          </cell>
        </row>
        <row r="344">
          <cell r="D344">
            <v>203788</v>
          </cell>
        </row>
        <row r="345">
          <cell r="D345">
            <v>203788</v>
          </cell>
        </row>
        <row r="346">
          <cell r="D346">
            <v>203788</v>
          </cell>
        </row>
        <row r="347">
          <cell r="D347">
            <v>203788</v>
          </cell>
        </row>
        <row r="348">
          <cell r="D348">
            <v>203788</v>
          </cell>
        </row>
        <row r="349">
          <cell r="D349">
            <v>203788</v>
          </cell>
        </row>
        <row r="350">
          <cell r="D350">
            <v>203789</v>
          </cell>
        </row>
        <row r="351">
          <cell r="D351">
            <v>203789</v>
          </cell>
        </row>
        <row r="352">
          <cell r="D352">
            <v>203789</v>
          </cell>
        </row>
        <row r="353">
          <cell r="D353">
            <v>203789</v>
          </cell>
        </row>
        <row r="354">
          <cell r="D354">
            <v>203789</v>
          </cell>
        </row>
        <row r="355">
          <cell r="D355">
            <v>203789</v>
          </cell>
        </row>
        <row r="356">
          <cell r="D356">
            <v>203789</v>
          </cell>
        </row>
        <row r="357">
          <cell r="D357">
            <v>203789</v>
          </cell>
        </row>
        <row r="358">
          <cell r="D358">
            <v>203789</v>
          </cell>
        </row>
        <row r="359">
          <cell r="D359">
            <v>203789</v>
          </cell>
        </row>
        <row r="360">
          <cell r="D360">
            <v>203789</v>
          </cell>
        </row>
        <row r="361">
          <cell r="D361">
            <v>203789</v>
          </cell>
        </row>
        <row r="362">
          <cell r="D362">
            <v>203789</v>
          </cell>
        </row>
        <row r="363">
          <cell r="D363">
            <v>203789</v>
          </cell>
        </row>
        <row r="364">
          <cell r="D364">
            <v>203789</v>
          </cell>
        </row>
        <row r="365">
          <cell r="D365">
            <v>203789</v>
          </cell>
        </row>
        <row r="366">
          <cell r="D366">
            <v>203789</v>
          </cell>
        </row>
        <row r="367">
          <cell r="D367">
            <v>203789</v>
          </cell>
        </row>
        <row r="368">
          <cell r="D368">
            <v>203789</v>
          </cell>
        </row>
        <row r="369">
          <cell r="D369">
            <v>203789</v>
          </cell>
        </row>
        <row r="370">
          <cell r="D370">
            <v>203789</v>
          </cell>
        </row>
        <row r="371">
          <cell r="D371">
            <v>203789</v>
          </cell>
        </row>
        <row r="372">
          <cell r="D372">
            <v>203789</v>
          </cell>
        </row>
        <row r="373">
          <cell r="D373">
            <v>203789</v>
          </cell>
        </row>
        <row r="374">
          <cell r="D374">
            <v>203789</v>
          </cell>
        </row>
        <row r="375">
          <cell r="D375">
            <v>203789</v>
          </cell>
        </row>
        <row r="376">
          <cell r="D376">
            <v>203789</v>
          </cell>
        </row>
        <row r="377">
          <cell r="D377">
            <v>203789</v>
          </cell>
        </row>
        <row r="378">
          <cell r="D378">
            <v>203789</v>
          </cell>
        </row>
        <row r="379">
          <cell r="D379">
            <v>203789</v>
          </cell>
        </row>
        <row r="380">
          <cell r="D380">
            <v>203789</v>
          </cell>
        </row>
        <row r="381">
          <cell r="D381">
            <v>203789</v>
          </cell>
        </row>
        <row r="382">
          <cell r="D382">
            <v>203789</v>
          </cell>
        </row>
        <row r="383">
          <cell r="D383">
            <v>203789</v>
          </cell>
        </row>
        <row r="384">
          <cell r="D384">
            <v>203789</v>
          </cell>
        </row>
        <row r="385">
          <cell r="D385">
            <v>203789</v>
          </cell>
        </row>
        <row r="386">
          <cell r="D386">
            <v>203789</v>
          </cell>
        </row>
        <row r="387">
          <cell r="D387">
            <v>203789</v>
          </cell>
        </row>
        <row r="388">
          <cell r="D388">
            <v>203789</v>
          </cell>
        </row>
        <row r="389">
          <cell r="D389">
            <v>203789</v>
          </cell>
        </row>
        <row r="390">
          <cell r="D390">
            <v>203789</v>
          </cell>
        </row>
        <row r="391">
          <cell r="D391">
            <v>203789</v>
          </cell>
        </row>
        <row r="392">
          <cell r="D392">
            <v>203789</v>
          </cell>
        </row>
        <row r="393">
          <cell r="D393">
            <v>203789</v>
          </cell>
        </row>
        <row r="394">
          <cell r="D394">
            <v>203789</v>
          </cell>
        </row>
        <row r="395">
          <cell r="D395">
            <v>203789</v>
          </cell>
        </row>
        <row r="396">
          <cell r="D396">
            <v>203789</v>
          </cell>
        </row>
        <row r="397">
          <cell r="D397">
            <v>203789</v>
          </cell>
        </row>
        <row r="398">
          <cell r="D398">
            <v>203789</v>
          </cell>
        </row>
        <row r="399">
          <cell r="D399">
            <v>203789</v>
          </cell>
        </row>
        <row r="400">
          <cell r="D400">
            <v>203789</v>
          </cell>
        </row>
        <row r="401">
          <cell r="D401">
            <v>203789</v>
          </cell>
        </row>
        <row r="402">
          <cell r="D402">
            <v>203789</v>
          </cell>
        </row>
        <row r="403">
          <cell r="D403">
            <v>203789</v>
          </cell>
        </row>
        <row r="404">
          <cell r="D404">
            <v>203789</v>
          </cell>
        </row>
        <row r="405">
          <cell r="D405">
            <v>203789</v>
          </cell>
        </row>
        <row r="406">
          <cell r="D406">
            <v>203789</v>
          </cell>
        </row>
        <row r="407">
          <cell r="D407">
            <v>203789</v>
          </cell>
        </row>
        <row r="408">
          <cell r="D408">
            <v>203789</v>
          </cell>
        </row>
        <row r="409">
          <cell r="D409">
            <v>203789</v>
          </cell>
        </row>
        <row r="410">
          <cell r="D410">
            <v>203789</v>
          </cell>
        </row>
        <row r="411">
          <cell r="D411">
            <v>203789</v>
          </cell>
        </row>
        <row r="412">
          <cell r="D412">
            <v>203789</v>
          </cell>
        </row>
        <row r="413">
          <cell r="D413">
            <v>203789</v>
          </cell>
        </row>
        <row r="414">
          <cell r="D414">
            <v>203789</v>
          </cell>
        </row>
        <row r="415">
          <cell r="D415">
            <v>203789</v>
          </cell>
        </row>
        <row r="416">
          <cell r="D416">
            <v>203789</v>
          </cell>
        </row>
        <row r="417">
          <cell r="D417">
            <v>203789</v>
          </cell>
        </row>
        <row r="418">
          <cell r="D418">
            <v>203789</v>
          </cell>
        </row>
        <row r="419">
          <cell r="D419">
            <v>203789</v>
          </cell>
        </row>
        <row r="420">
          <cell r="D420">
            <v>203789</v>
          </cell>
        </row>
        <row r="421">
          <cell r="D421">
            <v>203789</v>
          </cell>
        </row>
        <row r="422">
          <cell r="D422">
            <v>203789</v>
          </cell>
        </row>
        <row r="423">
          <cell r="D423">
            <v>203789</v>
          </cell>
        </row>
        <row r="424">
          <cell r="D424">
            <v>203789</v>
          </cell>
        </row>
        <row r="425">
          <cell r="D425">
            <v>203789</v>
          </cell>
        </row>
        <row r="426">
          <cell r="D426">
            <v>203789</v>
          </cell>
        </row>
        <row r="427">
          <cell r="D427">
            <v>203789</v>
          </cell>
        </row>
        <row r="428">
          <cell r="D428">
            <v>203789</v>
          </cell>
        </row>
        <row r="429">
          <cell r="D429">
            <v>203789</v>
          </cell>
        </row>
        <row r="430">
          <cell r="D430">
            <v>203789</v>
          </cell>
        </row>
        <row r="431">
          <cell r="D431">
            <v>203789</v>
          </cell>
        </row>
        <row r="432">
          <cell r="D432">
            <v>203789</v>
          </cell>
        </row>
        <row r="433">
          <cell r="D433">
            <v>203789</v>
          </cell>
        </row>
        <row r="434">
          <cell r="D434">
            <v>203789</v>
          </cell>
        </row>
        <row r="435">
          <cell r="D435">
            <v>203789</v>
          </cell>
        </row>
        <row r="436">
          <cell r="D436">
            <v>203789</v>
          </cell>
        </row>
        <row r="437">
          <cell r="D437">
            <v>203789</v>
          </cell>
        </row>
        <row r="438">
          <cell r="D438">
            <v>203789</v>
          </cell>
        </row>
        <row r="439">
          <cell r="D439">
            <v>203789</v>
          </cell>
        </row>
        <row r="440">
          <cell r="D440">
            <v>203789</v>
          </cell>
        </row>
        <row r="441">
          <cell r="D441">
            <v>203789</v>
          </cell>
        </row>
        <row r="442">
          <cell r="D442">
            <v>203789</v>
          </cell>
        </row>
        <row r="443">
          <cell r="D443">
            <v>203789</v>
          </cell>
        </row>
        <row r="444">
          <cell r="D444">
            <v>203789</v>
          </cell>
        </row>
        <row r="445">
          <cell r="D445">
            <v>203789</v>
          </cell>
        </row>
        <row r="446">
          <cell r="D446">
            <v>203789</v>
          </cell>
        </row>
        <row r="447">
          <cell r="D447">
            <v>203789</v>
          </cell>
        </row>
        <row r="448">
          <cell r="D448">
            <v>203789</v>
          </cell>
        </row>
        <row r="449">
          <cell r="D449">
            <v>203789</v>
          </cell>
        </row>
        <row r="450">
          <cell r="D450">
            <v>203789</v>
          </cell>
        </row>
        <row r="451">
          <cell r="D451">
            <v>203789</v>
          </cell>
        </row>
        <row r="452">
          <cell r="D452">
            <v>203789</v>
          </cell>
        </row>
        <row r="453">
          <cell r="D453">
            <v>203789</v>
          </cell>
        </row>
        <row r="454">
          <cell r="D454">
            <v>203789</v>
          </cell>
        </row>
        <row r="455">
          <cell r="D455">
            <v>203789</v>
          </cell>
        </row>
        <row r="456">
          <cell r="D456">
            <v>203789</v>
          </cell>
        </row>
        <row r="457">
          <cell r="D457">
            <v>203789</v>
          </cell>
        </row>
        <row r="458">
          <cell r="D458">
            <v>203789</v>
          </cell>
        </row>
        <row r="459">
          <cell r="D459">
            <v>203789</v>
          </cell>
        </row>
        <row r="460">
          <cell r="D460">
            <v>203789</v>
          </cell>
        </row>
        <row r="461">
          <cell r="D461">
            <v>203789</v>
          </cell>
        </row>
        <row r="462">
          <cell r="D462">
            <v>203789</v>
          </cell>
        </row>
        <row r="463">
          <cell r="D463">
            <v>203789</v>
          </cell>
        </row>
        <row r="464">
          <cell r="D464">
            <v>203789</v>
          </cell>
        </row>
        <row r="465">
          <cell r="D465">
            <v>203789</v>
          </cell>
        </row>
        <row r="466">
          <cell r="D466">
            <v>203789</v>
          </cell>
        </row>
        <row r="467">
          <cell r="D467">
            <v>203789</v>
          </cell>
        </row>
        <row r="468">
          <cell r="D468">
            <v>203789</v>
          </cell>
        </row>
        <row r="469">
          <cell r="D469">
            <v>203789</v>
          </cell>
        </row>
        <row r="470">
          <cell r="D470">
            <v>203789</v>
          </cell>
        </row>
        <row r="471">
          <cell r="D471">
            <v>203789</v>
          </cell>
        </row>
        <row r="472">
          <cell r="D472">
            <v>203789</v>
          </cell>
        </row>
        <row r="473">
          <cell r="D473">
            <v>203789</v>
          </cell>
        </row>
        <row r="474">
          <cell r="D474">
            <v>203789</v>
          </cell>
        </row>
        <row r="475">
          <cell r="D475">
            <v>203789</v>
          </cell>
        </row>
        <row r="476">
          <cell r="D476">
            <v>203789</v>
          </cell>
        </row>
        <row r="477">
          <cell r="D477">
            <v>203789</v>
          </cell>
        </row>
        <row r="478">
          <cell r="D478">
            <v>203789</v>
          </cell>
        </row>
        <row r="479">
          <cell r="D479">
            <v>203789</v>
          </cell>
        </row>
        <row r="480">
          <cell r="D480">
            <v>203789</v>
          </cell>
        </row>
        <row r="481">
          <cell r="D481">
            <v>203789</v>
          </cell>
        </row>
        <row r="482">
          <cell r="D482">
            <v>203789</v>
          </cell>
        </row>
        <row r="483">
          <cell r="D483">
            <v>203789</v>
          </cell>
        </row>
        <row r="484">
          <cell r="D484">
            <v>203789</v>
          </cell>
        </row>
        <row r="485">
          <cell r="D485">
            <v>203789</v>
          </cell>
        </row>
        <row r="486">
          <cell r="D486">
            <v>203789</v>
          </cell>
        </row>
        <row r="487">
          <cell r="D487">
            <v>203789</v>
          </cell>
        </row>
        <row r="488">
          <cell r="D488">
            <v>203789</v>
          </cell>
        </row>
        <row r="489">
          <cell r="D489">
            <v>203789</v>
          </cell>
        </row>
        <row r="490">
          <cell r="D490">
            <v>203789</v>
          </cell>
        </row>
        <row r="491">
          <cell r="D491">
            <v>203789</v>
          </cell>
        </row>
        <row r="492">
          <cell r="D492">
            <v>203789</v>
          </cell>
        </row>
        <row r="493">
          <cell r="D493">
            <v>203789</v>
          </cell>
        </row>
        <row r="494">
          <cell r="D494">
            <v>203789</v>
          </cell>
        </row>
        <row r="495">
          <cell r="D495">
            <v>203789</v>
          </cell>
        </row>
        <row r="496">
          <cell r="D496">
            <v>203789</v>
          </cell>
        </row>
        <row r="497">
          <cell r="D497">
            <v>203789</v>
          </cell>
        </row>
        <row r="498">
          <cell r="D498">
            <v>203789</v>
          </cell>
        </row>
        <row r="499">
          <cell r="D499">
            <v>203789</v>
          </cell>
        </row>
        <row r="500">
          <cell r="D500">
            <v>203789</v>
          </cell>
        </row>
        <row r="501">
          <cell r="D501">
            <v>203789</v>
          </cell>
        </row>
        <row r="502">
          <cell r="D502">
            <v>203789</v>
          </cell>
        </row>
        <row r="503">
          <cell r="D503">
            <v>203789</v>
          </cell>
        </row>
        <row r="504">
          <cell r="D504">
            <v>203789</v>
          </cell>
        </row>
        <row r="505">
          <cell r="D505">
            <v>203789</v>
          </cell>
        </row>
        <row r="506">
          <cell r="D506">
            <v>203789</v>
          </cell>
        </row>
        <row r="507">
          <cell r="D507">
            <v>203789</v>
          </cell>
        </row>
        <row r="508">
          <cell r="D508">
            <v>203789</v>
          </cell>
        </row>
        <row r="509">
          <cell r="D509">
            <v>203789</v>
          </cell>
        </row>
        <row r="510">
          <cell r="D510">
            <v>203789</v>
          </cell>
        </row>
        <row r="511">
          <cell r="D511">
            <v>203789</v>
          </cell>
        </row>
        <row r="512">
          <cell r="D512">
            <v>203789</v>
          </cell>
        </row>
        <row r="513">
          <cell r="D513">
            <v>203789</v>
          </cell>
        </row>
        <row r="514">
          <cell r="D514">
            <v>203789</v>
          </cell>
        </row>
        <row r="515">
          <cell r="D515">
            <v>203789</v>
          </cell>
        </row>
        <row r="516">
          <cell r="D516">
            <v>203789</v>
          </cell>
        </row>
        <row r="517">
          <cell r="D517">
            <v>203789</v>
          </cell>
        </row>
        <row r="518">
          <cell r="D518">
            <v>203789</v>
          </cell>
        </row>
        <row r="519">
          <cell r="D519">
            <v>203789</v>
          </cell>
        </row>
        <row r="520">
          <cell r="D520">
            <v>203789</v>
          </cell>
        </row>
        <row r="521">
          <cell r="D521">
            <v>203789</v>
          </cell>
        </row>
        <row r="522">
          <cell r="D522">
            <v>203789</v>
          </cell>
        </row>
        <row r="523">
          <cell r="D523">
            <v>203789</v>
          </cell>
        </row>
        <row r="524">
          <cell r="D524">
            <v>203789</v>
          </cell>
        </row>
        <row r="525">
          <cell r="D525">
            <v>203789</v>
          </cell>
        </row>
        <row r="526">
          <cell r="D526">
            <v>203789</v>
          </cell>
        </row>
        <row r="527">
          <cell r="D527">
            <v>203789</v>
          </cell>
        </row>
        <row r="528">
          <cell r="D528">
            <v>203789</v>
          </cell>
        </row>
        <row r="529">
          <cell r="D529">
            <v>203789</v>
          </cell>
        </row>
        <row r="530">
          <cell r="D530">
            <v>203789</v>
          </cell>
        </row>
        <row r="531">
          <cell r="D531">
            <v>203789</v>
          </cell>
        </row>
        <row r="532">
          <cell r="D532">
            <v>203789</v>
          </cell>
        </row>
        <row r="533">
          <cell r="D533">
            <v>203789</v>
          </cell>
        </row>
        <row r="534">
          <cell r="D534">
            <v>203789</v>
          </cell>
        </row>
        <row r="535">
          <cell r="D535">
            <v>203789</v>
          </cell>
        </row>
        <row r="536">
          <cell r="D536">
            <v>203789</v>
          </cell>
        </row>
        <row r="537">
          <cell r="D537">
            <v>203789</v>
          </cell>
        </row>
        <row r="538">
          <cell r="D538">
            <v>203789</v>
          </cell>
        </row>
        <row r="539">
          <cell r="D539">
            <v>203789</v>
          </cell>
        </row>
        <row r="540">
          <cell r="D540">
            <v>203789</v>
          </cell>
        </row>
        <row r="541">
          <cell r="D541">
            <v>203789</v>
          </cell>
        </row>
        <row r="542">
          <cell r="D542">
            <v>203789</v>
          </cell>
        </row>
        <row r="543">
          <cell r="D543">
            <v>203789</v>
          </cell>
        </row>
        <row r="544">
          <cell r="D544">
            <v>203789</v>
          </cell>
        </row>
        <row r="545">
          <cell r="D545">
            <v>203789</v>
          </cell>
        </row>
        <row r="546">
          <cell r="D546">
            <v>203789</v>
          </cell>
        </row>
        <row r="547">
          <cell r="D547">
            <v>203789</v>
          </cell>
        </row>
        <row r="548">
          <cell r="D548">
            <v>203789</v>
          </cell>
        </row>
        <row r="549">
          <cell r="D549">
            <v>203789</v>
          </cell>
        </row>
        <row r="550">
          <cell r="D550">
            <v>203789</v>
          </cell>
        </row>
        <row r="551">
          <cell r="D551">
            <v>203789</v>
          </cell>
        </row>
        <row r="552">
          <cell r="D552">
            <v>203789</v>
          </cell>
        </row>
        <row r="553">
          <cell r="D553">
            <v>203789</v>
          </cell>
        </row>
        <row r="554">
          <cell r="D554">
            <v>203789</v>
          </cell>
        </row>
        <row r="555">
          <cell r="D555">
            <v>203789</v>
          </cell>
        </row>
        <row r="556">
          <cell r="D556">
            <v>203789</v>
          </cell>
        </row>
        <row r="557">
          <cell r="D557">
            <v>203789</v>
          </cell>
        </row>
        <row r="558">
          <cell r="D558">
            <v>203789</v>
          </cell>
        </row>
        <row r="559">
          <cell r="D559">
            <v>203789</v>
          </cell>
        </row>
        <row r="560">
          <cell r="D560">
            <v>203789</v>
          </cell>
        </row>
        <row r="561">
          <cell r="D561">
            <v>203789</v>
          </cell>
        </row>
        <row r="562">
          <cell r="D562">
            <v>203789</v>
          </cell>
        </row>
        <row r="563">
          <cell r="D563">
            <v>203789</v>
          </cell>
        </row>
        <row r="564">
          <cell r="D564">
            <v>203789</v>
          </cell>
        </row>
        <row r="565">
          <cell r="D565">
            <v>203789</v>
          </cell>
        </row>
        <row r="566">
          <cell r="D566">
            <v>203789</v>
          </cell>
        </row>
        <row r="567">
          <cell r="D567">
            <v>203789</v>
          </cell>
        </row>
        <row r="568">
          <cell r="D568">
            <v>203789</v>
          </cell>
        </row>
        <row r="569">
          <cell r="D569">
            <v>203789</v>
          </cell>
        </row>
        <row r="570">
          <cell r="D570">
            <v>203789</v>
          </cell>
        </row>
        <row r="571">
          <cell r="D571">
            <v>203789</v>
          </cell>
        </row>
        <row r="572">
          <cell r="D572">
            <v>203789</v>
          </cell>
        </row>
        <row r="573">
          <cell r="D573">
            <v>203789</v>
          </cell>
        </row>
        <row r="574">
          <cell r="D574">
            <v>203789</v>
          </cell>
        </row>
        <row r="575">
          <cell r="D575">
            <v>203789</v>
          </cell>
        </row>
        <row r="576">
          <cell r="D576">
            <v>203789</v>
          </cell>
        </row>
        <row r="577">
          <cell r="D577">
            <v>203789</v>
          </cell>
        </row>
        <row r="578">
          <cell r="D578">
            <v>203789</v>
          </cell>
        </row>
        <row r="579">
          <cell r="D579">
            <v>203789</v>
          </cell>
        </row>
        <row r="580">
          <cell r="D580">
            <v>203789</v>
          </cell>
        </row>
        <row r="581">
          <cell r="D581">
            <v>203789</v>
          </cell>
        </row>
        <row r="582">
          <cell r="D582">
            <v>203789</v>
          </cell>
        </row>
        <row r="583">
          <cell r="D583">
            <v>203789</v>
          </cell>
        </row>
        <row r="584">
          <cell r="D584">
            <v>203789</v>
          </cell>
        </row>
        <row r="585">
          <cell r="D585">
            <v>203789</v>
          </cell>
        </row>
        <row r="586">
          <cell r="D586">
            <v>203789</v>
          </cell>
        </row>
        <row r="587">
          <cell r="D587">
            <v>203789</v>
          </cell>
        </row>
        <row r="588">
          <cell r="D588">
            <v>203789</v>
          </cell>
        </row>
        <row r="589">
          <cell r="D589">
            <v>203789</v>
          </cell>
        </row>
        <row r="590">
          <cell r="D590">
            <v>203789</v>
          </cell>
        </row>
        <row r="591">
          <cell r="D591">
            <v>203789</v>
          </cell>
        </row>
        <row r="592">
          <cell r="D592">
            <v>203789</v>
          </cell>
        </row>
        <row r="593">
          <cell r="D593">
            <v>203789</v>
          </cell>
        </row>
        <row r="594">
          <cell r="D594">
            <v>203789</v>
          </cell>
        </row>
        <row r="595">
          <cell r="D595">
            <v>203789</v>
          </cell>
        </row>
        <row r="596">
          <cell r="D596">
            <v>203790</v>
          </cell>
        </row>
        <row r="597">
          <cell r="D597">
            <v>203790</v>
          </cell>
        </row>
        <row r="598">
          <cell r="D598">
            <v>203790</v>
          </cell>
        </row>
        <row r="599">
          <cell r="D599">
            <v>203790</v>
          </cell>
        </row>
        <row r="600">
          <cell r="D600">
            <v>203790</v>
          </cell>
        </row>
        <row r="601">
          <cell r="D601">
            <v>203790</v>
          </cell>
        </row>
        <row r="602">
          <cell r="D602">
            <v>203790</v>
          </cell>
        </row>
        <row r="603">
          <cell r="D603">
            <v>203790</v>
          </cell>
        </row>
        <row r="604">
          <cell r="D604">
            <v>203790</v>
          </cell>
        </row>
        <row r="605">
          <cell r="D605">
            <v>203791</v>
          </cell>
        </row>
        <row r="606">
          <cell r="D606">
            <v>203791</v>
          </cell>
        </row>
        <row r="607">
          <cell r="D607">
            <v>203792</v>
          </cell>
        </row>
        <row r="608">
          <cell r="D608">
            <v>203792</v>
          </cell>
        </row>
        <row r="609">
          <cell r="D609">
            <v>203792</v>
          </cell>
        </row>
        <row r="610">
          <cell r="D610">
            <v>203792</v>
          </cell>
        </row>
        <row r="611">
          <cell r="D611">
            <v>203792</v>
          </cell>
        </row>
        <row r="612">
          <cell r="D612">
            <v>203792</v>
          </cell>
        </row>
        <row r="613">
          <cell r="D613">
            <v>203792</v>
          </cell>
        </row>
        <row r="614">
          <cell r="D614">
            <v>203792</v>
          </cell>
        </row>
        <row r="615">
          <cell r="D615">
            <v>203792</v>
          </cell>
        </row>
        <row r="616">
          <cell r="D616">
            <v>203792</v>
          </cell>
        </row>
        <row r="617">
          <cell r="D617">
            <v>203792</v>
          </cell>
        </row>
        <row r="618">
          <cell r="D618">
            <v>203792</v>
          </cell>
        </row>
        <row r="619">
          <cell r="D619">
            <v>203792</v>
          </cell>
        </row>
        <row r="620">
          <cell r="D620">
            <v>203792</v>
          </cell>
        </row>
        <row r="621">
          <cell r="D621">
            <v>203792</v>
          </cell>
        </row>
        <row r="622">
          <cell r="D622">
            <v>203792</v>
          </cell>
        </row>
        <row r="623">
          <cell r="D623">
            <v>203792</v>
          </cell>
        </row>
        <row r="624">
          <cell r="D624">
            <v>203792</v>
          </cell>
        </row>
        <row r="625">
          <cell r="D625">
            <v>203792</v>
          </cell>
        </row>
        <row r="626">
          <cell r="D626">
            <v>203792</v>
          </cell>
        </row>
        <row r="627">
          <cell r="D627">
            <v>203792</v>
          </cell>
        </row>
        <row r="628">
          <cell r="D628">
            <v>203792</v>
          </cell>
        </row>
        <row r="629">
          <cell r="D629">
            <v>203792</v>
          </cell>
        </row>
        <row r="630">
          <cell r="D630">
            <v>203792</v>
          </cell>
        </row>
        <row r="631">
          <cell r="D631">
            <v>203792</v>
          </cell>
        </row>
        <row r="632">
          <cell r="D632">
            <v>203792</v>
          </cell>
        </row>
        <row r="633">
          <cell r="D633">
            <v>203792</v>
          </cell>
        </row>
        <row r="634">
          <cell r="D634">
            <v>203792</v>
          </cell>
        </row>
        <row r="635">
          <cell r="D635">
            <v>203792</v>
          </cell>
        </row>
        <row r="636">
          <cell r="D636">
            <v>203792</v>
          </cell>
        </row>
        <row r="637">
          <cell r="D637">
            <v>203792</v>
          </cell>
        </row>
        <row r="638">
          <cell r="D638">
            <v>203792</v>
          </cell>
        </row>
        <row r="639">
          <cell r="D639">
            <v>203792</v>
          </cell>
        </row>
        <row r="640">
          <cell r="D640">
            <v>203792</v>
          </cell>
        </row>
        <row r="641">
          <cell r="D641">
            <v>203792</v>
          </cell>
        </row>
        <row r="642">
          <cell r="D642">
            <v>203792</v>
          </cell>
        </row>
        <row r="643">
          <cell r="D643">
            <v>203792</v>
          </cell>
        </row>
        <row r="644">
          <cell r="D644">
            <v>203792</v>
          </cell>
        </row>
        <row r="645">
          <cell r="D645">
            <v>203792</v>
          </cell>
        </row>
        <row r="646">
          <cell r="D646">
            <v>203792</v>
          </cell>
        </row>
        <row r="647">
          <cell r="D647">
            <v>203792</v>
          </cell>
        </row>
        <row r="648">
          <cell r="D648">
            <v>203792</v>
          </cell>
        </row>
        <row r="649">
          <cell r="D649">
            <v>203792</v>
          </cell>
        </row>
        <row r="650">
          <cell r="D650">
            <v>203792</v>
          </cell>
        </row>
        <row r="651">
          <cell r="D651">
            <v>203792</v>
          </cell>
        </row>
        <row r="652">
          <cell r="D652">
            <v>203792</v>
          </cell>
        </row>
        <row r="653">
          <cell r="D653">
            <v>203792</v>
          </cell>
        </row>
        <row r="654">
          <cell r="D654">
            <v>203792</v>
          </cell>
        </row>
        <row r="655">
          <cell r="D655">
            <v>203792</v>
          </cell>
        </row>
        <row r="656">
          <cell r="D656">
            <v>203792</v>
          </cell>
        </row>
        <row r="657">
          <cell r="D657">
            <v>203792</v>
          </cell>
        </row>
        <row r="658">
          <cell r="D658">
            <v>203792</v>
          </cell>
        </row>
        <row r="659">
          <cell r="D659">
            <v>203792</v>
          </cell>
        </row>
        <row r="660">
          <cell r="D660">
            <v>203792</v>
          </cell>
        </row>
        <row r="661">
          <cell r="D661">
            <v>203792</v>
          </cell>
        </row>
        <row r="662">
          <cell r="D662">
            <v>203792</v>
          </cell>
        </row>
        <row r="663">
          <cell r="D663">
            <v>203792</v>
          </cell>
        </row>
        <row r="664">
          <cell r="D664">
            <v>203792</v>
          </cell>
        </row>
        <row r="665">
          <cell r="D665">
            <v>203792</v>
          </cell>
        </row>
        <row r="666">
          <cell r="D666">
            <v>203792</v>
          </cell>
        </row>
        <row r="667">
          <cell r="D667">
            <v>203792</v>
          </cell>
        </row>
        <row r="668">
          <cell r="D668">
            <v>203792</v>
          </cell>
        </row>
        <row r="669">
          <cell r="D669">
            <v>203792</v>
          </cell>
        </row>
        <row r="670">
          <cell r="D670">
            <v>203792</v>
          </cell>
        </row>
        <row r="671">
          <cell r="D671">
            <v>203792</v>
          </cell>
        </row>
        <row r="672">
          <cell r="D672">
            <v>203792</v>
          </cell>
        </row>
        <row r="673">
          <cell r="D673">
            <v>203792</v>
          </cell>
        </row>
        <row r="674">
          <cell r="D674">
            <v>203792</v>
          </cell>
        </row>
        <row r="675">
          <cell r="D675">
            <v>203792</v>
          </cell>
        </row>
        <row r="676">
          <cell r="D676">
            <v>203792</v>
          </cell>
        </row>
        <row r="677">
          <cell r="D677">
            <v>203792</v>
          </cell>
        </row>
        <row r="678">
          <cell r="D678">
            <v>203792</v>
          </cell>
        </row>
        <row r="679">
          <cell r="D679">
            <v>203792</v>
          </cell>
        </row>
        <row r="680">
          <cell r="D680">
            <v>203792</v>
          </cell>
        </row>
        <row r="681">
          <cell r="D681">
            <v>203792</v>
          </cell>
        </row>
        <row r="682">
          <cell r="D682">
            <v>203792</v>
          </cell>
        </row>
        <row r="683">
          <cell r="D683">
            <v>203792</v>
          </cell>
        </row>
        <row r="684">
          <cell r="D684">
            <v>203792</v>
          </cell>
        </row>
        <row r="685">
          <cell r="D685">
            <v>203792</v>
          </cell>
        </row>
        <row r="686">
          <cell r="D686">
            <v>203792</v>
          </cell>
        </row>
        <row r="687">
          <cell r="D687">
            <v>203792</v>
          </cell>
        </row>
        <row r="688">
          <cell r="D688">
            <v>203792</v>
          </cell>
        </row>
        <row r="689">
          <cell r="D689">
            <v>203792</v>
          </cell>
        </row>
        <row r="690">
          <cell r="D690">
            <v>203792</v>
          </cell>
        </row>
        <row r="691">
          <cell r="D691">
            <v>203792</v>
          </cell>
        </row>
        <row r="692">
          <cell r="D692">
            <v>203792</v>
          </cell>
        </row>
        <row r="693">
          <cell r="D693">
            <v>203792</v>
          </cell>
        </row>
        <row r="694">
          <cell r="D694">
            <v>203792</v>
          </cell>
        </row>
        <row r="695">
          <cell r="D695">
            <v>203792</v>
          </cell>
        </row>
        <row r="696">
          <cell r="D696">
            <v>203792</v>
          </cell>
        </row>
        <row r="697">
          <cell r="D697">
            <v>203792</v>
          </cell>
        </row>
        <row r="698">
          <cell r="D698">
            <v>203792</v>
          </cell>
        </row>
        <row r="699">
          <cell r="D699">
            <v>203792</v>
          </cell>
        </row>
        <row r="700">
          <cell r="D700">
            <v>203792</v>
          </cell>
        </row>
        <row r="701">
          <cell r="D701">
            <v>203792</v>
          </cell>
        </row>
        <row r="702">
          <cell r="D702">
            <v>203792</v>
          </cell>
        </row>
        <row r="703">
          <cell r="D703">
            <v>203792</v>
          </cell>
        </row>
        <row r="704">
          <cell r="D704">
            <v>203792</v>
          </cell>
        </row>
        <row r="705">
          <cell r="D705">
            <v>203792</v>
          </cell>
        </row>
        <row r="706">
          <cell r="D706">
            <v>203792</v>
          </cell>
        </row>
        <row r="707">
          <cell r="D707">
            <v>203792</v>
          </cell>
        </row>
        <row r="708">
          <cell r="D708">
            <v>203792</v>
          </cell>
        </row>
        <row r="709">
          <cell r="D709">
            <v>203792</v>
          </cell>
        </row>
        <row r="710">
          <cell r="D710">
            <v>203792</v>
          </cell>
        </row>
        <row r="711">
          <cell r="D711">
            <v>203792</v>
          </cell>
        </row>
        <row r="712">
          <cell r="D712">
            <v>203792</v>
          </cell>
        </row>
        <row r="713">
          <cell r="D713">
            <v>203792</v>
          </cell>
        </row>
        <row r="714">
          <cell r="D714">
            <v>203792</v>
          </cell>
        </row>
        <row r="715">
          <cell r="D715">
            <v>203792</v>
          </cell>
        </row>
        <row r="716">
          <cell r="D716">
            <v>203792</v>
          </cell>
        </row>
        <row r="717">
          <cell r="D717">
            <v>203792</v>
          </cell>
        </row>
        <row r="718">
          <cell r="D718">
            <v>203792</v>
          </cell>
        </row>
        <row r="719">
          <cell r="D719">
            <v>203792</v>
          </cell>
        </row>
        <row r="720">
          <cell r="D720">
            <v>203793</v>
          </cell>
        </row>
        <row r="721">
          <cell r="D721">
            <v>203793</v>
          </cell>
        </row>
        <row r="722">
          <cell r="D722">
            <v>203793</v>
          </cell>
        </row>
        <row r="723">
          <cell r="D723">
            <v>203793</v>
          </cell>
        </row>
        <row r="724">
          <cell r="D724">
            <v>203793</v>
          </cell>
        </row>
        <row r="725">
          <cell r="D725">
            <v>203793</v>
          </cell>
        </row>
        <row r="726">
          <cell r="D726">
            <v>203793</v>
          </cell>
        </row>
        <row r="727">
          <cell r="D727">
            <v>203793</v>
          </cell>
        </row>
        <row r="728">
          <cell r="D728">
            <v>203793</v>
          </cell>
        </row>
        <row r="729">
          <cell r="D729">
            <v>203793</v>
          </cell>
        </row>
        <row r="730">
          <cell r="D730">
            <v>203793</v>
          </cell>
        </row>
        <row r="731">
          <cell r="D731">
            <v>203793</v>
          </cell>
        </row>
        <row r="732">
          <cell r="D732">
            <v>203793</v>
          </cell>
        </row>
        <row r="733">
          <cell r="D733">
            <v>203793</v>
          </cell>
        </row>
        <row r="734">
          <cell r="D734">
            <v>203793</v>
          </cell>
        </row>
        <row r="735">
          <cell r="D735">
            <v>203793</v>
          </cell>
        </row>
        <row r="736">
          <cell r="D736">
            <v>203793</v>
          </cell>
        </row>
        <row r="737">
          <cell r="D737">
            <v>203793</v>
          </cell>
        </row>
        <row r="738">
          <cell r="D738">
            <v>203793</v>
          </cell>
        </row>
        <row r="739">
          <cell r="D739">
            <v>203793</v>
          </cell>
        </row>
        <row r="740">
          <cell r="D740">
            <v>203793</v>
          </cell>
        </row>
        <row r="741">
          <cell r="D741">
            <v>203793</v>
          </cell>
        </row>
        <row r="742">
          <cell r="D742">
            <v>203793</v>
          </cell>
        </row>
        <row r="743">
          <cell r="D743">
            <v>203793</v>
          </cell>
        </row>
        <row r="744">
          <cell r="D744">
            <v>203793</v>
          </cell>
        </row>
        <row r="745">
          <cell r="D745">
            <v>203793</v>
          </cell>
        </row>
        <row r="746">
          <cell r="D746">
            <v>203793</v>
          </cell>
        </row>
        <row r="747">
          <cell r="D747">
            <v>203793</v>
          </cell>
        </row>
        <row r="748">
          <cell r="D748">
            <v>203793</v>
          </cell>
        </row>
        <row r="749">
          <cell r="D749">
            <v>203793</v>
          </cell>
        </row>
        <row r="750">
          <cell r="D750">
            <v>203793</v>
          </cell>
        </row>
        <row r="751">
          <cell r="D751">
            <v>203793</v>
          </cell>
        </row>
        <row r="752">
          <cell r="D752">
            <v>203794</v>
          </cell>
        </row>
        <row r="753">
          <cell r="D753">
            <v>203794</v>
          </cell>
        </row>
        <row r="754">
          <cell r="D754">
            <v>203794</v>
          </cell>
        </row>
        <row r="755">
          <cell r="D755">
            <v>203794</v>
          </cell>
        </row>
        <row r="756">
          <cell r="D756">
            <v>203795</v>
          </cell>
        </row>
        <row r="757">
          <cell r="D757">
            <v>203796</v>
          </cell>
        </row>
        <row r="758">
          <cell r="D758">
            <v>203796</v>
          </cell>
        </row>
        <row r="759">
          <cell r="D759">
            <v>203797</v>
          </cell>
        </row>
        <row r="760">
          <cell r="D760">
            <v>203798</v>
          </cell>
        </row>
        <row r="761">
          <cell r="D761">
            <v>203798</v>
          </cell>
        </row>
        <row r="762">
          <cell r="D762">
            <v>203799</v>
          </cell>
        </row>
        <row r="763">
          <cell r="D763">
            <v>203799</v>
          </cell>
        </row>
        <row r="764">
          <cell r="D764">
            <v>203800</v>
          </cell>
        </row>
        <row r="765">
          <cell r="D765">
            <v>203801</v>
          </cell>
        </row>
        <row r="766">
          <cell r="D766">
            <v>203802</v>
          </cell>
        </row>
        <row r="767">
          <cell r="D767">
            <v>203803</v>
          </cell>
        </row>
        <row r="768">
          <cell r="D768">
            <v>203804</v>
          </cell>
        </row>
        <row r="769">
          <cell r="D769">
            <v>203804</v>
          </cell>
        </row>
        <row r="770">
          <cell r="D770">
            <v>203804</v>
          </cell>
        </row>
        <row r="771">
          <cell r="D771">
            <v>203804</v>
          </cell>
        </row>
        <row r="772">
          <cell r="D772">
            <v>203804</v>
          </cell>
        </row>
        <row r="773">
          <cell r="D773">
            <v>203804</v>
          </cell>
        </row>
        <row r="774">
          <cell r="D774">
            <v>203804</v>
          </cell>
        </row>
        <row r="775">
          <cell r="D775">
            <v>203804</v>
          </cell>
        </row>
        <row r="776">
          <cell r="D776">
            <v>203804</v>
          </cell>
        </row>
        <row r="777">
          <cell r="D777">
            <v>203805</v>
          </cell>
        </row>
        <row r="778">
          <cell r="D778">
            <v>203806</v>
          </cell>
        </row>
        <row r="779">
          <cell r="D779">
            <v>203806</v>
          </cell>
        </row>
        <row r="780">
          <cell r="D780">
            <v>203806</v>
          </cell>
        </row>
        <row r="781">
          <cell r="D781">
            <v>203806</v>
          </cell>
        </row>
        <row r="782">
          <cell r="D782">
            <v>203806</v>
          </cell>
        </row>
        <row r="783">
          <cell r="D783">
            <v>203806</v>
          </cell>
        </row>
        <row r="784">
          <cell r="D784">
            <v>203806</v>
          </cell>
        </row>
        <row r="785">
          <cell r="D785">
            <v>203806</v>
          </cell>
        </row>
        <row r="786">
          <cell r="D786">
            <v>203806</v>
          </cell>
        </row>
        <row r="787">
          <cell r="D787">
            <v>203806</v>
          </cell>
        </row>
        <row r="788">
          <cell r="D788">
            <v>203806</v>
          </cell>
        </row>
        <row r="789">
          <cell r="D789">
            <v>203806</v>
          </cell>
        </row>
        <row r="790">
          <cell r="D790">
            <v>203806</v>
          </cell>
        </row>
        <row r="791">
          <cell r="D791">
            <v>203806</v>
          </cell>
        </row>
        <row r="792">
          <cell r="D792">
            <v>203806</v>
          </cell>
        </row>
        <row r="793">
          <cell r="D793">
            <v>203806</v>
          </cell>
        </row>
        <row r="794">
          <cell r="D794">
            <v>203806</v>
          </cell>
        </row>
        <row r="795">
          <cell r="D795">
            <v>203806</v>
          </cell>
        </row>
        <row r="796">
          <cell r="D796">
            <v>203806</v>
          </cell>
        </row>
        <row r="797">
          <cell r="D797">
            <v>203806</v>
          </cell>
        </row>
        <row r="798">
          <cell r="D798">
            <v>203806</v>
          </cell>
        </row>
        <row r="799">
          <cell r="D799">
            <v>203806</v>
          </cell>
        </row>
        <row r="800">
          <cell r="D800">
            <v>203806</v>
          </cell>
        </row>
        <row r="801">
          <cell r="D801">
            <v>203806</v>
          </cell>
        </row>
        <row r="802">
          <cell r="D802">
            <v>203806</v>
          </cell>
        </row>
        <row r="803">
          <cell r="D803">
            <v>203806</v>
          </cell>
        </row>
        <row r="804">
          <cell r="D804">
            <v>203807</v>
          </cell>
        </row>
        <row r="805">
          <cell r="D805">
            <v>203807</v>
          </cell>
        </row>
        <row r="806">
          <cell r="D806">
            <v>203808</v>
          </cell>
        </row>
        <row r="807">
          <cell r="D807">
            <v>203809</v>
          </cell>
        </row>
        <row r="808">
          <cell r="D808">
            <v>203810</v>
          </cell>
        </row>
        <row r="809">
          <cell r="D809">
            <v>203811</v>
          </cell>
        </row>
        <row r="810">
          <cell r="D810">
            <v>203811</v>
          </cell>
        </row>
        <row r="811">
          <cell r="D811">
            <v>203812</v>
          </cell>
        </row>
        <row r="812">
          <cell r="D812">
            <v>203812</v>
          </cell>
        </row>
        <row r="813">
          <cell r="D813">
            <v>203812</v>
          </cell>
        </row>
        <row r="814">
          <cell r="D814">
            <v>203813</v>
          </cell>
        </row>
        <row r="815">
          <cell r="D815">
            <v>203814</v>
          </cell>
        </row>
        <row r="816">
          <cell r="D816">
            <v>203814</v>
          </cell>
        </row>
        <row r="817">
          <cell r="D817">
            <v>203814</v>
          </cell>
        </row>
        <row r="818">
          <cell r="D818">
            <v>203814</v>
          </cell>
        </row>
        <row r="819">
          <cell r="D819">
            <v>203814</v>
          </cell>
        </row>
        <row r="820">
          <cell r="D820">
            <v>203814</v>
          </cell>
        </row>
        <row r="821">
          <cell r="D821">
            <v>203814</v>
          </cell>
        </row>
        <row r="822">
          <cell r="D822">
            <v>203814</v>
          </cell>
        </row>
        <row r="823">
          <cell r="D823">
            <v>203814</v>
          </cell>
        </row>
        <row r="824">
          <cell r="D824">
            <v>203814</v>
          </cell>
        </row>
        <row r="825">
          <cell r="D825">
            <v>203814</v>
          </cell>
        </row>
        <row r="826">
          <cell r="D826">
            <v>203814</v>
          </cell>
        </row>
        <row r="827">
          <cell r="D827">
            <v>203814</v>
          </cell>
        </row>
        <row r="828">
          <cell r="D828">
            <v>203814</v>
          </cell>
        </row>
        <row r="829">
          <cell r="D829">
            <v>203814</v>
          </cell>
        </row>
        <row r="830">
          <cell r="D830">
            <v>203814</v>
          </cell>
        </row>
        <row r="831">
          <cell r="D831">
            <v>203815</v>
          </cell>
        </row>
        <row r="832">
          <cell r="D832">
            <v>203815</v>
          </cell>
        </row>
        <row r="833">
          <cell r="D833">
            <v>203816</v>
          </cell>
        </row>
        <row r="834">
          <cell r="D834">
            <v>203817</v>
          </cell>
        </row>
        <row r="835">
          <cell r="D835">
            <v>203818</v>
          </cell>
        </row>
        <row r="836">
          <cell r="D836">
            <v>203818</v>
          </cell>
        </row>
        <row r="837">
          <cell r="D837">
            <v>203819</v>
          </cell>
        </row>
        <row r="838">
          <cell r="D838">
            <v>203820</v>
          </cell>
        </row>
        <row r="839">
          <cell r="D839">
            <v>203821</v>
          </cell>
        </row>
        <row r="840">
          <cell r="D840">
            <v>203821</v>
          </cell>
        </row>
        <row r="841">
          <cell r="D841">
            <v>203822</v>
          </cell>
        </row>
        <row r="842">
          <cell r="D842">
            <v>203822</v>
          </cell>
        </row>
        <row r="843">
          <cell r="D843">
            <v>203823</v>
          </cell>
        </row>
        <row r="844">
          <cell r="D844">
            <v>203823</v>
          </cell>
        </row>
        <row r="845">
          <cell r="D845">
            <v>203823</v>
          </cell>
        </row>
        <row r="846">
          <cell r="D846">
            <v>203823</v>
          </cell>
        </row>
        <row r="847">
          <cell r="D847">
            <v>203823</v>
          </cell>
        </row>
        <row r="848">
          <cell r="D848">
            <v>203823</v>
          </cell>
        </row>
        <row r="849">
          <cell r="D849">
            <v>203823</v>
          </cell>
        </row>
        <row r="850">
          <cell r="D850">
            <v>203823</v>
          </cell>
        </row>
        <row r="851">
          <cell r="D851">
            <v>203823</v>
          </cell>
        </row>
        <row r="852">
          <cell r="D852">
            <v>203823</v>
          </cell>
        </row>
        <row r="853">
          <cell r="D853">
            <v>203823</v>
          </cell>
        </row>
        <row r="854">
          <cell r="D854">
            <v>203824</v>
          </cell>
        </row>
        <row r="855">
          <cell r="D855">
            <v>203824</v>
          </cell>
        </row>
        <row r="856">
          <cell r="D856">
            <v>203824</v>
          </cell>
        </row>
        <row r="857">
          <cell r="D857">
            <v>203825</v>
          </cell>
        </row>
        <row r="858">
          <cell r="D858">
            <v>203826</v>
          </cell>
        </row>
        <row r="859">
          <cell r="D859">
            <v>203826</v>
          </cell>
        </row>
        <row r="860">
          <cell r="D860">
            <v>203826</v>
          </cell>
        </row>
        <row r="861">
          <cell r="D861">
            <v>203826</v>
          </cell>
        </row>
        <row r="862">
          <cell r="D862">
            <v>203826</v>
          </cell>
        </row>
        <row r="863">
          <cell r="D863">
            <v>203826</v>
          </cell>
        </row>
        <row r="864">
          <cell r="D864">
            <v>203827</v>
          </cell>
        </row>
        <row r="865">
          <cell r="D865">
            <v>203827</v>
          </cell>
        </row>
        <row r="866">
          <cell r="D866">
            <v>203827</v>
          </cell>
        </row>
        <row r="867">
          <cell r="D867">
            <v>203828</v>
          </cell>
        </row>
        <row r="868">
          <cell r="D868">
            <v>203828</v>
          </cell>
        </row>
        <row r="869">
          <cell r="D869">
            <v>203829</v>
          </cell>
        </row>
        <row r="870">
          <cell r="D870">
            <v>203830</v>
          </cell>
        </row>
        <row r="871">
          <cell r="D871">
            <v>203831</v>
          </cell>
        </row>
        <row r="872">
          <cell r="D872">
            <v>203831</v>
          </cell>
        </row>
        <row r="873">
          <cell r="D873">
            <v>203831</v>
          </cell>
        </row>
        <row r="874">
          <cell r="D874">
            <v>203831</v>
          </cell>
        </row>
        <row r="875">
          <cell r="D875">
            <v>203831</v>
          </cell>
        </row>
        <row r="876">
          <cell r="D876">
            <v>203831</v>
          </cell>
        </row>
        <row r="877">
          <cell r="D877">
            <v>203831</v>
          </cell>
        </row>
        <row r="878">
          <cell r="D878">
            <v>203831</v>
          </cell>
        </row>
        <row r="879">
          <cell r="D879">
            <v>203831</v>
          </cell>
        </row>
        <row r="880">
          <cell r="D880">
            <v>203831</v>
          </cell>
        </row>
        <row r="881">
          <cell r="D881">
            <v>203831</v>
          </cell>
        </row>
        <row r="882">
          <cell r="D882">
            <v>203831</v>
          </cell>
        </row>
        <row r="883">
          <cell r="D883">
            <v>203831</v>
          </cell>
        </row>
        <row r="884">
          <cell r="D884">
            <v>203831</v>
          </cell>
        </row>
        <row r="885">
          <cell r="D885">
            <v>203831</v>
          </cell>
        </row>
        <row r="886">
          <cell r="D886">
            <v>203831</v>
          </cell>
        </row>
        <row r="887">
          <cell r="D887">
            <v>203831</v>
          </cell>
        </row>
        <row r="888">
          <cell r="D888">
            <v>203831</v>
          </cell>
        </row>
        <row r="889">
          <cell r="D889">
            <v>203831</v>
          </cell>
        </row>
        <row r="890">
          <cell r="D890">
            <v>203831</v>
          </cell>
        </row>
        <row r="891">
          <cell r="D891">
            <v>203831</v>
          </cell>
        </row>
        <row r="892">
          <cell r="D892">
            <v>203831</v>
          </cell>
        </row>
        <row r="893">
          <cell r="D893">
            <v>203832</v>
          </cell>
        </row>
        <row r="894">
          <cell r="D894">
            <v>203832</v>
          </cell>
        </row>
        <row r="895">
          <cell r="D895">
            <v>203832</v>
          </cell>
        </row>
        <row r="896">
          <cell r="D896">
            <v>203832</v>
          </cell>
        </row>
        <row r="897">
          <cell r="D897">
            <v>203832</v>
          </cell>
        </row>
        <row r="898">
          <cell r="D898">
            <v>203832</v>
          </cell>
        </row>
        <row r="899">
          <cell r="D899">
            <v>203832</v>
          </cell>
        </row>
        <row r="900">
          <cell r="D900">
            <v>203832</v>
          </cell>
        </row>
        <row r="901">
          <cell r="D901">
            <v>203832</v>
          </cell>
        </row>
        <row r="902">
          <cell r="D902">
            <v>203832</v>
          </cell>
        </row>
        <row r="903">
          <cell r="D903">
            <v>203832</v>
          </cell>
        </row>
        <row r="904">
          <cell r="D904">
            <v>203832</v>
          </cell>
        </row>
        <row r="905">
          <cell r="D905">
            <v>203832</v>
          </cell>
        </row>
        <row r="906">
          <cell r="D906">
            <v>203832</v>
          </cell>
        </row>
        <row r="907">
          <cell r="D907">
            <v>203832</v>
          </cell>
        </row>
        <row r="908">
          <cell r="D908">
            <v>203832</v>
          </cell>
        </row>
        <row r="909">
          <cell r="D909">
            <v>203832</v>
          </cell>
        </row>
        <row r="910">
          <cell r="D910">
            <v>203833</v>
          </cell>
        </row>
        <row r="911">
          <cell r="D911">
            <v>203833</v>
          </cell>
        </row>
        <row r="912">
          <cell r="D912">
            <v>203833</v>
          </cell>
        </row>
        <row r="913">
          <cell r="D913">
            <v>203834</v>
          </cell>
        </row>
        <row r="914">
          <cell r="D914">
            <v>203834</v>
          </cell>
        </row>
        <row r="915">
          <cell r="D915">
            <v>203835</v>
          </cell>
        </row>
        <row r="916">
          <cell r="D916">
            <v>203835</v>
          </cell>
        </row>
        <row r="917">
          <cell r="D917">
            <v>203835</v>
          </cell>
        </row>
        <row r="918">
          <cell r="D918">
            <v>203836</v>
          </cell>
        </row>
        <row r="919">
          <cell r="D919">
            <v>203836</v>
          </cell>
        </row>
        <row r="920">
          <cell r="D920">
            <v>203836</v>
          </cell>
        </row>
        <row r="921">
          <cell r="D921">
            <v>203837</v>
          </cell>
        </row>
        <row r="922">
          <cell r="D922">
            <v>203838</v>
          </cell>
        </row>
        <row r="923">
          <cell r="D923">
            <v>203838</v>
          </cell>
        </row>
        <row r="924">
          <cell r="D924">
            <v>203839</v>
          </cell>
        </row>
        <row r="925">
          <cell r="D925">
            <v>203840</v>
          </cell>
        </row>
        <row r="926">
          <cell r="D926">
            <v>203840</v>
          </cell>
        </row>
        <row r="927">
          <cell r="D927">
            <v>203840</v>
          </cell>
        </row>
        <row r="928">
          <cell r="D928">
            <v>203840</v>
          </cell>
        </row>
        <row r="929">
          <cell r="D929">
            <v>203840</v>
          </cell>
        </row>
        <row r="930">
          <cell r="D930">
            <v>203840</v>
          </cell>
        </row>
        <row r="931">
          <cell r="D931">
            <v>203840</v>
          </cell>
        </row>
        <row r="932">
          <cell r="D932">
            <v>203841</v>
          </cell>
        </row>
        <row r="933">
          <cell r="D933">
            <v>203841</v>
          </cell>
        </row>
        <row r="934">
          <cell r="D934">
            <v>203842</v>
          </cell>
        </row>
        <row r="935">
          <cell r="D935">
            <v>203842</v>
          </cell>
        </row>
        <row r="936">
          <cell r="D936">
            <v>203842</v>
          </cell>
        </row>
        <row r="937">
          <cell r="D937">
            <v>203843</v>
          </cell>
        </row>
        <row r="938">
          <cell r="D938">
            <v>203843</v>
          </cell>
        </row>
        <row r="939">
          <cell r="D939">
            <v>203844</v>
          </cell>
        </row>
        <row r="940">
          <cell r="D940">
            <v>203844</v>
          </cell>
        </row>
        <row r="941">
          <cell r="D941">
            <v>203844</v>
          </cell>
        </row>
        <row r="942">
          <cell r="D942">
            <v>203845</v>
          </cell>
        </row>
        <row r="943">
          <cell r="D943">
            <v>203846</v>
          </cell>
        </row>
        <row r="944">
          <cell r="D944">
            <v>203847</v>
          </cell>
        </row>
        <row r="945">
          <cell r="D945">
            <v>203847</v>
          </cell>
        </row>
        <row r="946">
          <cell r="D946">
            <v>203847</v>
          </cell>
        </row>
        <row r="947">
          <cell r="D947">
            <v>203847</v>
          </cell>
        </row>
        <row r="948">
          <cell r="D948">
            <v>203847</v>
          </cell>
        </row>
        <row r="949">
          <cell r="D949">
            <v>203847</v>
          </cell>
        </row>
        <row r="950">
          <cell r="D950">
            <v>203848</v>
          </cell>
        </row>
        <row r="951">
          <cell r="D951">
            <v>203849</v>
          </cell>
        </row>
        <row r="952">
          <cell r="D952">
            <v>203849</v>
          </cell>
        </row>
        <row r="953">
          <cell r="D953">
            <v>203850</v>
          </cell>
        </row>
        <row r="954">
          <cell r="D954">
            <v>203851</v>
          </cell>
        </row>
        <row r="955">
          <cell r="D955">
            <v>203852</v>
          </cell>
        </row>
        <row r="956">
          <cell r="D956">
            <v>203853</v>
          </cell>
        </row>
        <row r="957">
          <cell r="D957">
            <v>203853</v>
          </cell>
        </row>
        <row r="958">
          <cell r="D958">
            <v>203854</v>
          </cell>
        </row>
        <row r="959">
          <cell r="D959">
            <v>203855</v>
          </cell>
        </row>
        <row r="960">
          <cell r="D960">
            <v>203856</v>
          </cell>
        </row>
        <row r="961">
          <cell r="D961">
            <v>203856</v>
          </cell>
        </row>
        <row r="962">
          <cell r="D962">
            <v>203856</v>
          </cell>
        </row>
        <row r="963">
          <cell r="D963">
            <v>203856</v>
          </cell>
        </row>
        <row r="964">
          <cell r="D964">
            <v>203856</v>
          </cell>
        </row>
        <row r="965">
          <cell r="D965">
            <v>203856</v>
          </cell>
        </row>
        <row r="966">
          <cell r="D966">
            <v>203856</v>
          </cell>
        </row>
        <row r="967">
          <cell r="D967">
            <v>203856</v>
          </cell>
        </row>
        <row r="968">
          <cell r="D968">
            <v>203856</v>
          </cell>
        </row>
        <row r="969">
          <cell r="D969">
            <v>203856</v>
          </cell>
        </row>
        <row r="970">
          <cell r="D970">
            <v>203856</v>
          </cell>
        </row>
        <row r="971">
          <cell r="D971">
            <v>203856</v>
          </cell>
        </row>
        <row r="972">
          <cell r="D972">
            <v>203856</v>
          </cell>
        </row>
        <row r="973">
          <cell r="D973">
            <v>203857</v>
          </cell>
        </row>
        <row r="974">
          <cell r="D974">
            <v>203857</v>
          </cell>
        </row>
        <row r="975">
          <cell r="D975">
            <v>203857</v>
          </cell>
        </row>
        <row r="976">
          <cell r="D976">
            <v>203858</v>
          </cell>
        </row>
        <row r="977">
          <cell r="D977">
            <v>203858</v>
          </cell>
        </row>
        <row r="978">
          <cell r="D978">
            <v>203858</v>
          </cell>
        </row>
        <row r="979">
          <cell r="D979">
            <v>203858</v>
          </cell>
        </row>
        <row r="980">
          <cell r="D980">
            <v>203858</v>
          </cell>
        </row>
        <row r="981">
          <cell r="D981">
            <v>203858</v>
          </cell>
        </row>
        <row r="982">
          <cell r="D982">
            <v>203858</v>
          </cell>
        </row>
        <row r="983">
          <cell r="D983">
            <v>203858</v>
          </cell>
        </row>
        <row r="984">
          <cell r="D984">
            <v>203858</v>
          </cell>
        </row>
        <row r="985">
          <cell r="D985">
            <v>203858</v>
          </cell>
        </row>
        <row r="986">
          <cell r="D986">
            <v>203858</v>
          </cell>
        </row>
        <row r="987">
          <cell r="D987">
            <v>203858</v>
          </cell>
        </row>
        <row r="988">
          <cell r="D988">
            <v>203858</v>
          </cell>
        </row>
        <row r="989">
          <cell r="D989">
            <v>203858</v>
          </cell>
        </row>
        <row r="990">
          <cell r="D990">
            <v>203858</v>
          </cell>
        </row>
        <row r="991">
          <cell r="D991">
            <v>203858</v>
          </cell>
        </row>
        <row r="992">
          <cell r="D992">
            <v>203858</v>
          </cell>
        </row>
        <row r="993">
          <cell r="D993">
            <v>203858</v>
          </cell>
        </row>
        <row r="994">
          <cell r="D994">
            <v>203858</v>
          </cell>
        </row>
        <row r="995">
          <cell r="D995">
            <v>203858</v>
          </cell>
        </row>
        <row r="996">
          <cell r="D996">
            <v>203858</v>
          </cell>
        </row>
        <row r="997">
          <cell r="D997">
            <v>203859</v>
          </cell>
        </row>
        <row r="998">
          <cell r="D998">
            <v>203859</v>
          </cell>
        </row>
        <row r="999">
          <cell r="D999">
            <v>203859</v>
          </cell>
        </row>
        <row r="1000">
          <cell r="D1000">
            <v>203859</v>
          </cell>
        </row>
        <row r="1001">
          <cell r="D1001">
            <v>203859</v>
          </cell>
        </row>
        <row r="1002">
          <cell r="D1002">
            <v>203859</v>
          </cell>
        </row>
        <row r="1003">
          <cell r="D1003">
            <v>203860</v>
          </cell>
        </row>
        <row r="1004">
          <cell r="D1004">
            <v>203860</v>
          </cell>
        </row>
        <row r="1005">
          <cell r="D1005">
            <v>203861</v>
          </cell>
        </row>
        <row r="1006">
          <cell r="D1006">
            <v>203862</v>
          </cell>
        </row>
        <row r="1007">
          <cell r="D1007">
            <v>203862</v>
          </cell>
        </row>
        <row r="1008">
          <cell r="D1008">
            <v>203863</v>
          </cell>
        </row>
        <row r="1009">
          <cell r="D1009">
            <v>203863</v>
          </cell>
        </row>
        <row r="1010">
          <cell r="D1010">
            <v>203863</v>
          </cell>
        </row>
        <row r="1011">
          <cell r="D1011">
            <v>203863</v>
          </cell>
        </row>
        <row r="1012">
          <cell r="D1012">
            <v>203864</v>
          </cell>
        </row>
        <row r="1013">
          <cell r="D1013">
            <v>203864</v>
          </cell>
        </row>
        <row r="1014">
          <cell r="D1014">
            <v>203864</v>
          </cell>
        </row>
        <row r="1015">
          <cell r="D1015">
            <v>203864</v>
          </cell>
        </row>
        <row r="1016">
          <cell r="D1016">
            <v>203864</v>
          </cell>
        </row>
        <row r="1017">
          <cell r="D1017">
            <v>203864</v>
          </cell>
        </row>
        <row r="1018">
          <cell r="D1018">
            <v>203865</v>
          </cell>
        </row>
        <row r="1019">
          <cell r="D1019">
            <v>203866</v>
          </cell>
        </row>
        <row r="1020">
          <cell r="D1020">
            <v>203867</v>
          </cell>
        </row>
        <row r="1021">
          <cell r="D1021">
            <v>203868</v>
          </cell>
        </row>
        <row r="1022">
          <cell r="D1022">
            <v>203869</v>
          </cell>
        </row>
        <row r="1023">
          <cell r="D1023">
            <v>203869</v>
          </cell>
        </row>
        <row r="1024">
          <cell r="D1024">
            <v>203870</v>
          </cell>
        </row>
        <row r="1025">
          <cell r="D1025">
            <v>203870</v>
          </cell>
        </row>
        <row r="1026">
          <cell r="D1026">
            <v>203871</v>
          </cell>
        </row>
        <row r="1027">
          <cell r="D1027">
            <v>203872</v>
          </cell>
        </row>
        <row r="1028">
          <cell r="D1028">
            <v>203872</v>
          </cell>
        </row>
        <row r="1029">
          <cell r="D1029">
            <v>203873</v>
          </cell>
        </row>
        <row r="1030">
          <cell r="D1030">
            <v>203873</v>
          </cell>
        </row>
        <row r="1031">
          <cell r="D1031">
            <v>203873</v>
          </cell>
        </row>
        <row r="1032">
          <cell r="D1032">
            <v>203873</v>
          </cell>
        </row>
        <row r="1033">
          <cell r="D1033">
            <v>203874</v>
          </cell>
        </row>
        <row r="1034">
          <cell r="D1034">
            <v>203875</v>
          </cell>
        </row>
        <row r="1035">
          <cell r="D1035">
            <v>203876</v>
          </cell>
        </row>
        <row r="1036">
          <cell r="D1036">
            <v>203877</v>
          </cell>
        </row>
        <row r="1037">
          <cell r="D1037">
            <v>203878</v>
          </cell>
        </row>
        <row r="1038">
          <cell r="D1038">
            <v>203878</v>
          </cell>
        </row>
        <row r="1039">
          <cell r="D1039">
            <v>203879</v>
          </cell>
        </row>
        <row r="1040">
          <cell r="D1040">
            <v>203879</v>
          </cell>
        </row>
        <row r="1041">
          <cell r="D1041">
            <v>203880</v>
          </cell>
        </row>
        <row r="1042">
          <cell r="D1042">
            <v>203880</v>
          </cell>
        </row>
        <row r="1043">
          <cell r="D1043">
            <v>203881</v>
          </cell>
        </row>
        <row r="1044">
          <cell r="D1044">
            <v>203881</v>
          </cell>
        </row>
        <row r="1045">
          <cell r="D1045">
            <v>203882</v>
          </cell>
        </row>
        <row r="1046">
          <cell r="D1046">
            <v>203882</v>
          </cell>
        </row>
        <row r="1047">
          <cell r="D1047">
            <v>203882</v>
          </cell>
        </row>
        <row r="1048">
          <cell r="D1048">
            <v>203882</v>
          </cell>
        </row>
        <row r="1049">
          <cell r="D1049">
            <v>203883</v>
          </cell>
        </row>
        <row r="1050">
          <cell r="D1050">
            <v>203883</v>
          </cell>
        </row>
        <row r="1051">
          <cell r="D1051">
            <v>203883</v>
          </cell>
        </row>
        <row r="1052">
          <cell r="D1052">
            <v>203883</v>
          </cell>
        </row>
        <row r="1053">
          <cell r="D1053">
            <v>203884</v>
          </cell>
        </row>
        <row r="1054">
          <cell r="D1054">
            <v>203884</v>
          </cell>
        </row>
        <row r="1055">
          <cell r="D1055">
            <v>203885</v>
          </cell>
        </row>
        <row r="1056">
          <cell r="D1056">
            <v>203886</v>
          </cell>
        </row>
        <row r="1057">
          <cell r="D1057">
            <v>203886</v>
          </cell>
        </row>
        <row r="1058">
          <cell r="D1058">
            <v>203886</v>
          </cell>
        </row>
        <row r="1059">
          <cell r="D1059">
            <v>203886</v>
          </cell>
        </row>
        <row r="1060">
          <cell r="D1060">
            <v>203887</v>
          </cell>
        </row>
        <row r="1061">
          <cell r="D1061">
            <v>203887</v>
          </cell>
        </row>
        <row r="1062">
          <cell r="D1062">
            <v>203888</v>
          </cell>
        </row>
        <row r="1063">
          <cell r="D1063">
            <v>203889</v>
          </cell>
        </row>
        <row r="1064">
          <cell r="D1064">
            <v>203889</v>
          </cell>
        </row>
        <row r="1065">
          <cell r="D1065">
            <v>203889</v>
          </cell>
        </row>
        <row r="1066">
          <cell r="D1066">
            <v>203889</v>
          </cell>
        </row>
        <row r="1067">
          <cell r="D1067">
            <v>203889</v>
          </cell>
        </row>
        <row r="1068">
          <cell r="D1068">
            <v>203889</v>
          </cell>
        </row>
        <row r="1069">
          <cell r="D1069">
            <v>203889</v>
          </cell>
        </row>
        <row r="1070">
          <cell r="D1070">
            <v>203889</v>
          </cell>
        </row>
        <row r="1071">
          <cell r="D1071">
            <v>203889</v>
          </cell>
        </row>
        <row r="1072">
          <cell r="D1072">
            <v>203889</v>
          </cell>
        </row>
        <row r="1073">
          <cell r="D1073">
            <v>203889</v>
          </cell>
        </row>
        <row r="1074">
          <cell r="D1074">
            <v>203889</v>
          </cell>
        </row>
        <row r="1075">
          <cell r="D1075">
            <v>203889</v>
          </cell>
        </row>
        <row r="1076">
          <cell r="D1076">
            <v>203889</v>
          </cell>
        </row>
        <row r="1077">
          <cell r="D1077">
            <v>203889</v>
          </cell>
        </row>
        <row r="1078">
          <cell r="D1078">
            <v>203889</v>
          </cell>
        </row>
        <row r="1079">
          <cell r="D1079">
            <v>203889</v>
          </cell>
        </row>
        <row r="1080">
          <cell r="D1080">
            <v>203889</v>
          </cell>
        </row>
        <row r="1081">
          <cell r="D1081">
            <v>203889</v>
          </cell>
        </row>
        <row r="1082">
          <cell r="D1082">
            <v>203890</v>
          </cell>
        </row>
        <row r="1083">
          <cell r="D1083">
            <v>203890</v>
          </cell>
        </row>
        <row r="1084">
          <cell r="D1084">
            <v>203891</v>
          </cell>
        </row>
        <row r="1085">
          <cell r="D1085">
            <v>203891</v>
          </cell>
        </row>
        <row r="1086">
          <cell r="D1086">
            <v>203892</v>
          </cell>
        </row>
        <row r="1087">
          <cell r="D1087">
            <v>203892</v>
          </cell>
        </row>
        <row r="1088">
          <cell r="D1088">
            <v>203893</v>
          </cell>
        </row>
        <row r="1089">
          <cell r="D1089">
            <v>203893</v>
          </cell>
        </row>
        <row r="1090">
          <cell r="D1090">
            <v>203893</v>
          </cell>
        </row>
        <row r="1091">
          <cell r="D1091">
            <v>203894</v>
          </cell>
        </row>
        <row r="1092">
          <cell r="D1092">
            <v>203894</v>
          </cell>
        </row>
        <row r="1093">
          <cell r="D1093">
            <v>203894</v>
          </cell>
        </row>
        <row r="1094">
          <cell r="D1094">
            <v>203894</v>
          </cell>
        </row>
        <row r="1095">
          <cell r="D1095">
            <v>203894</v>
          </cell>
        </row>
        <row r="1096">
          <cell r="D1096">
            <v>203895</v>
          </cell>
        </row>
        <row r="1097">
          <cell r="D1097">
            <v>203896</v>
          </cell>
        </row>
        <row r="1098">
          <cell r="D1098">
            <v>203896</v>
          </cell>
        </row>
        <row r="1099">
          <cell r="D1099">
            <v>203897</v>
          </cell>
        </row>
        <row r="1100">
          <cell r="D1100">
            <v>203897</v>
          </cell>
        </row>
        <row r="1101">
          <cell r="D1101">
            <v>203898</v>
          </cell>
        </row>
        <row r="1102">
          <cell r="D1102">
            <v>203898</v>
          </cell>
        </row>
        <row r="1103">
          <cell r="D1103">
            <v>203898</v>
          </cell>
        </row>
        <row r="1104">
          <cell r="D1104">
            <v>203898</v>
          </cell>
        </row>
        <row r="1105">
          <cell r="D1105">
            <v>203898</v>
          </cell>
        </row>
        <row r="1106">
          <cell r="D1106">
            <v>203899</v>
          </cell>
        </row>
        <row r="1107">
          <cell r="D1107">
            <v>203899</v>
          </cell>
        </row>
        <row r="1108">
          <cell r="D1108">
            <v>203900</v>
          </cell>
        </row>
        <row r="1109">
          <cell r="D1109">
            <v>203900</v>
          </cell>
        </row>
        <row r="1110">
          <cell r="D1110">
            <v>203901</v>
          </cell>
        </row>
        <row r="1111">
          <cell r="D1111">
            <v>203902</v>
          </cell>
        </row>
        <row r="1112">
          <cell r="D1112">
            <v>203902</v>
          </cell>
        </row>
        <row r="1113">
          <cell r="D1113">
            <v>203903</v>
          </cell>
        </row>
        <row r="1114">
          <cell r="D1114">
            <v>203903</v>
          </cell>
        </row>
        <row r="1115">
          <cell r="D1115">
            <v>203904</v>
          </cell>
        </row>
        <row r="1116">
          <cell r="D1116">
            <v>203904</v>
          </cell>
        </row>
        <row r="1117">
          <cell r="D1117">
            <v>203905</v>
          </cell>
        </row>
        <row r="1118">
          <cell r="D1118">
            <v>203906</v>
          </cell>
        </row>
        <row r="1119">
          <cell r="D1119">
            <v>203907</v>
          </cell>
        </row>
        <row r="1120">
          <cell r="D1120">
            <v>203907</v>
          </cell>
        </row>
        <row r="1121">
          <cell r="D1121">
            <v>203908</v>
          </cell>
        </row>
        <row r="1122">
          <cell r="D1122">
            <v>203908</v>
          </cell>
        </row>
        <row r="1123">
          <cell r="D1123">
            <v>203909</v>
          </cell>
        </row>
        <row r="1124">
          <cell r="D1124">
            <v>203910</v>
          </cell>
        </row>
        <row r="1125">
          <cell r="D1125">
            <v>203911</v>
          </cell>
        </row>
        <row r="1126">
          <cell r="D1126">
            <v>203912</v>
          </cell>
        </row>
        <row r="1127">
          <cell r="D1127">
            <v>203913</v>
          </cell>
        </row>
        <row r="1128">
          <cell r="D1128">
            <v>203914</v>
          </cell>
        </row>
        <row r="1129">
          <cell r="D1129">
            <v>203915</v>
          </cell>
        </row>
        <row r="1130">
          <cell r="D1130">
            <v>203916</v>
          </cell>
        </row>
        <row r="1131">
          <cell r="D1131">
            <v>203916</v>
          </cell>
        </row>
        <row r="1132">
          <cell r="D1132">
            <v>203916</v>
          </cell>
        </row>
        <row r="1133">
          <cell r="D1133">
            <v>203916</v>
          </cell>
        </row>
        <row r="1134">
          <cell r="D1134">
            <v>203916</v>
          </cell>
        </row>
        <row r="1135">
          <cell r="D1135">
            <v>203916</v>
          </cell>
        </row>
        <row r="1136">
          <cell r="D1136">
            <v>203916</v>
          </cell>
        </row>
        <row r="1137">
          <cell r="D1137">
            <v>203916</v>
          </cell>
        </row>
        <row r="1138">
          <cell r="D1138">
            <v>203916</v>
          </cell>
        </row>
        <row r="1139">
          <cell r="D1139">
            <v>203916</v>
          </cell>
        </row>
        <row r="1140">
          <cell r="D1140">
            <v>203916</v>
          </cell>
        </row>
        <row r="1141">
          <cell r="D1141">
            <v>203916</v>
          </cell>
        </row>
        <row r="1142">
          <cell r="D1142">
            <v>203916</v>
          </cell>
        </row>
        <row r="1143">
          <cell r="D1143">
            <v>203916</v>
          </cell>
        </row>
        <row r="1144">
          <cell r="D1144">
            <v>203916</v>
          </cell>
        </row>
        <row r="1145">
          <cell r="D1145">
            <v>203916</v>
          </cell>
        </row>
        <row r="1146">
          <cell r="D1146">
            <v>203916</v>
          </cell>
        </row>
        <row r="1147">
          <cell r="D1147">
            <v>203916</v>
          </cell>
        </row>
        <row r="1148">
          <cell r="D1148">
            <v>203916</v>
          </cell>
        </row>
        <row r="1149">
          <cell r="D1149">
            <v>203916</v>
          </cell>
        </row>
        <row r="1150">
          <cell r="D1150">
            <v>203916</v>
          </cell>
        </row>
        <row r="1151">
          <cell r="D1151">
            <v>203916</v>
          </cell>
        </row>
        <row r="1152">
          <cell r="D1152">
            <v>203916</v>
          </cell>
        </row>
        <row r="1153">
          <cell r="D1153">
            <v>203916</v>
          </cell>
        </row>
        <row r="1154">
          <cell r="D1154">
            <v>203916</v>
          </cell>
        </row>
        <row r="1155">
          <cell r="D1155">
            <v>203916</v>
          </cell>
        </row>
        <row r="1156">
          <cell r="D1156">
            <v>203916</v>
          </cell>
        </row>
        <row r="1157">
          <cell r="D1157">
            <v>203916</v>
          </cell>
        </row>
        <row r="1158">
          <cell r="D1158">
            <v>203916</v>
          </cell>
        </row>
        <row r="1159">
          <cell r="D1159">
            <v>203916</v>
          </cell>
        </row>
        <row r="1160">
          <cell r="D1160">
            <v>203917</v>
          </cell>
        </row>
        <row r="1161">
          <cell r="D1161">
            <v>203917</v>
          </cell>
        </row>
        <row r="1162">
          <cell r="D1162">
            <v>203918</v>
          </cell>
        </row>
        <row r="1163">
          <cell r="D1163">
            <v>203918</v>
          </cell>
        </row>
        <row r="1164">
          <cell r="D1164">
            <v>203918</v>
          </cell>
        </row>
        <row r="1165">
          <cell r="D1165">
            <v>203918</v>
          </cell>
        </row>
        <row r="1166">
          <cell r="D1166">
            <v>203918</v>
          </cell>
        </row>
        <row r="1167">
          <cell r="D1167">
            <v>203918</v>
          </cell>
        </row>
        <row r="1168">
          <cell r="D1168">
            <v>203918</v>
          </cell>
        </row>
        <row r="1169">
          <cell r="D1169">
            <v>203919</v>
          </cell>
        </row>
        <row r="1170">
          <cell r="D1170">
            <v>203919</v>
          </cell>
        </row>
        <row r="1171">
          <cell r="D1171">
            <v>203919</v>
          </cell>
        </row>
        <row r="1172">
          <cell r="D1172">
            <v>203919</v>
          </cell>
        </row>
        <row r="1173">
          <cell r="D1173">
            <v>203919</v>
          </cell>
        </row>
        <row r="1174">
          <cell r="D1174">
            <v>203919</v>
          </cell>
        </row>
        <row r="1175">
          <cell r="D1175">
            <v>203919</v>
          </cell>
        </row>
        <row r="1176">
          <cell r="D1176">
            <v>203920</v>
          </cell>
        </row>
        <row r="1177">
          <cell r="D1177">
            <v>203920</v>
          </cell>
        </row>
        <row r="1178">
          <cell r="D1178">
            <v>203921</v>
          </cell>
        </row>
        <row r="1179">
          <cell r="D1179">
            <v>203921</v>
          </cell>
        </row>
        <row r="1180">
          <cell r="D1180">
            <v>203922</v>
          </cell>
        </row>
        <row r="1181">
          <cell r="D1181">
            <v>203923</v>
          </cell>
        </row>
        <row r="1182">
          <cell r="D1182">
            <v>203923</v>
          </cell>
        </row>
        <row r="1183">
          <cell r="D1183">
            <v>203923</v>
          </cell>
        </row>
        <row r="1184">
          <cell r="D1184">
            <v>203923</v>
          </cell>
        </row>
        <row r="1185">
          <cell r="D1185">
            <v>203923</v>
          </cell>
        </row>
        <row r="1186">
          <cell r="D1186">
            <v>203923</v>
          </cell>
        </row>
        <row r="1187">
          <cell r="D1187">
            <v>203923</v>
          </cell>
        </row>
        <row r="1188">
          <cell r="D1188">
            <v>203923</v>
          </cell>
        </row>
        <row r="1189">
          <cell r="D1189">
            <v>203923</v>
          </cell>
        </row>
        <row r="1190">
          <cell r="D1190">
            <v>203924</v>
          </cell>
        </row>
        <row r="1191">
          <cell r="D1191">
            <v>203925</v>
          </cell>
        </row>
        <row r="1192">
          <cell r="D1192">
            <v>203925</v>
          </cell>
        </row>
        <row r="1193">
          <cell r="D1193">
            <v>203926</v>
          </cell>
        </row>
        <row r="1194">
          <cell r="D1194">
            <v>203926</v>
          </cell>
        </row>
        <row r="1195">
          <cell r="D1195">
            <v>203927</v>
          </cell>
        </row>
        <row r="1196">
          <cell r="D1196">
            <v>203928</v>
          </cell>
        </row>
        <row r="1197">
          <cell r="D1197">
            <v>203929</v>
          </cell>
        </row>
        <row r="1198">
          <cell r="D1198">
            <v>203930</v>
          </cell>
        </row>
        <row r="1199">
          <cell r="D1199">
            <v>203930</v>
          </cell>
        </row>
        <row r="1200">
          <cell r="D1200">
            <v>203931</v>
          </cell>
        </row>
        <row r="1201">
          <cell r="D1201">
            <v>203931</v>
          </cell>
        </row>
        <row r="1202">
          <cell r="D1202">
            <v>203932</v>
          </cell>
        </row>
        <row r="1203">
          <cell r="D1203">
            <v>203933</v>
          </cell>
        </row>
        <row r="1204">
          <cell r="D1204">
            <v>203934</v>
          </cell>
        </row>
        <row r="1205">
          <cell r="D1205">
            <v>203934</v>
          </cell>
        </row>
        <row r="1206">
          <cell r="D1206">
            <v>203934</v>
          </cell>
        </row>
        <row r="1207">
          <cell r="D1207">
            <v>203934</v>
          </cell>
        </row>
        <row r="1208">
          <cell r="D1208">
            <v>203934</v>
          </cell>
        </row>
        <row r="1209">
          <cell r="D1209">
            <v>203935</v>
          </cell>
        </row>
        <row r="1210">
          <cell r="D1210">
            <v>203935</v>
          </cell>
        </row>
        <row r="1211">
          <cell r="D1211">
            <v>203936</v>
          </cell>
        </row>
        <row r="1212">
          <cell r="D1212">
            <v>203936</v>
          </cell>
        </row>
        <row r="1213">
          <cell r="D1213">
            <v>203936</v>
          </cell>
        </row>
        <row r="1214">
          <cell r="D1214">
            <v>203937</v>
          </cell>
        </row>
        <row r="1215">
          <cell r="D1215">
            <v>203938</v>
          </cell>
        </row>
        <row r="1216">
          <cell r="D1216">
            <v>203938</v>
          </cell>
        </row>
        <row r="1217">
          <cell r="D1217">
            <v>203938</v>
          </cell>
        </row>
        <row r="1218">
          <cell r="D1218">
            <v>203938</v>
          </cell>
        </row>
        <row r="1219">
          <cell r="D1219">
            <v>203938</v>
          </cell>
        </row>
        <row r="1220">
          <cell r="D1220">
            <v>203938</v>
          </cell>
        </row>
        <row r="1221">
          <cell r="D1221">
            <v>203938</v>
          </cell>
        </row>
        <row r="1222">
          <cell r="D1222">
            <v>203938</v>
          </cell>
        </row>
        <row r="1223">
          <cell r="D1223">
            <v>203938</v>
          </cell>
        </row>
        <row r="1224">
          <cell r="D1224">
            <v>203938</v>
          </cell>
        </row>
        <row r="1225">
          <cell r="D1225">
            <v>203938</v>
          </cell>
        </row>
        <row r="1226">
          <cell r="D1226">
            <v>203938</v>
          </cell>
        </row>
        <row r="1227">
          <cell r="D1227">
            <v>203938</v>
          </cell>
        </row>
        <row r="1228">
          <cell r="D1228">
            <v>203938</v>
          </cell>
        </row>
        <row r="1229">
          <cell r="D1229">
            <v>203938</v>
          </cell>
        </row>
        <row r="1230">
          <cell r="D1230">
            <v>203938</v>
          </cell>
        </row>
        <row r="1231">
          <cell r="D1231">
            <v>203938</v>
          </cell>
        </row>
        <row r="1232">
          <cell r="D1232">
            <v>203938</v>
          </cell>
        </row>
        <row r="1233">
          <cell r="D1233">
            <v>203938</v>
          </cell>
        </row>
        <row r="1234">
          <cell r="D1234">
            <v>203938</v>
          </cell>
        </row>
        <row r="1235">
          <cell r="D1235">
            <v>203938</v>
          </cell>
        </row>
        <row r="1236">
          <cell r="D1236">
            <v>203938</v>
          </cell>
        </row>
        <row r="1237">
          <cell r="D1237">
            <v>203938</v>
          </cell>
        </row>
        <row r="1238">
          <cell r="D1238">
            <v>203938</v>
          </cell>
        </row>
        <row r="1239">
          <cell r="D1239">
            <v>203938</v>
          </cell>
        </row>
        <row r="1240">
          <cell r="D1240">
            <v>203938</v>
          </cell>
        </row>
        <row r="1241">
          <cell r="D1241">
            <v>203938</v>
          </cell>
        </row>
        <row r="1242">
          <cell r="D1242">
            <v>203938</v>
          </cell>
        </row>
        <row r="1243">
          <cell r="D1243">
            <v>203938</v>
          </cell>
        </row>
        <row r="1244">
          <cell r="D1244">
            <v>203938</v>
          </cell>
        </row>
        <row r="1245">
          <cell r="D1245">
            <v>203938</v>
          </cell>
        </row>
        <row r="1246">
          <cell r="D1246">
            <v>203938</v>
          </cell>
        </row>
        <row r="1247">
          <cell r="D1247">
            <v>203938</v>
          </cell>
        </row>
        <row r="1248">
          <cell r="D1248">
            <v>203938</v>
          </cell>
        </row>
        <row r="1249">
          <cell r="D1249">
            <v>203938</v>
          </cell>
        </row>
        <row r="1250">
          <cell r="D1250">
            <v>203938</v>
          </cell>
        </row>
        <row r="1251">
          <cell r="D1251">
            <v>203938</v>
          </cell>
        </row>
        <row r="1252">
          <cell r="D1252">
            <v>203938</v>
          </cell>
        </row>
        <row r="1253">
          <cell r="D1253">
            <v>203938</v>
          </cell>
        </row>
        <row r="1254">
          <cell r="D1254">
            <v>203938</v>
          </cell>
        </row>
        <row r="1255">
          <cell r="D1255">
            <v>203938</v>
          </cell>
        </row>
        <row r="1256">
          <cell r="D1256">
            <v>203938</v>
          </cell>
        </row>
        <row r="1257">
          <cell r="D1257">
            <v>203938</v>
          </cell>
        </row>
        <row r="1258">
          <cell r="D1258">
            <v>203938</v>
          </cell>
        </row>
        <row r="1259">
          <cell r="D1259">
            <v>203938</v>
          </cell>
        </row>
        <row r="1260">
          <cell r="D1260">
            <v>203938</v>
          </cell>
        </row>
        <row r="1261">
          <cell r="D1261">
            <v>203938</v>
          </cell>
        </row>
        <row r="1262">
          <cell r="D1262">
            <v>203938</v>
          </cell>
        </row>
        <row r="1263">
          <cell r="D1263">
            <v>203938</v>
          </cell>
        </row>
        <row r="1264">
          <cell r="D1264">
            <v>203938</v>
          </cell>
        </row>
        <row r="1265">
          <cell r="D1265">
            <v>203938</v>
          </cell>
        </row>
        <row r="1266">
          <cell r="D1266">
            <v>203938</v>
          </cell>
        </row>
        <row r="1267">
          <cell r="D1267">
            <v>203938</v>
          </cell>
        </row>
        <row r="1268">
          <cell r="D1268">
            <v>203938</v>
          </cell>
        </row>
        <row r="1269">
          <cell r="D1269">
            <v>203938</v>
          </cell>
        </row>
        <row r="1270">
          <cell r="D1270">
            <v>203938</v>
          </cell>
        </row>
        <row r="1271">
          <cell r="D1271">
            <v>203938</v>
          </cell>
        </row>
        <row r="1272">
          <cell r="D1272">
            <v>203938</v>
          </cell>
        </row>
        <row r="1273">
          <cell r="D1273">
            <v>203938</v>
          </cell>
        </row>
        <row r="1274">
          <cell r="D1274">
            <v>203938</v>
          </cell>
        </row>
        <row r="1275">
          <cell r="D1275">
            <v>203938</v>
          </cell>
        </row>
        <row r="1276">
          <cell r="D1276">
            <v>203938</v>
          </cell>
        </row>
        <row r="1277">
          <cell r="D1277">
            <v>203938</v>
          </cell>
        </row>
        <row r="1278">
          <cell r="D1278">
            <v>203938</v>
          </cell>
        </row>
        <row r="1279">
          <cell r="D1279">
            <v>203938</v>
          </cell>
        </row>
        <row r="1280">
          <cell r="D1280">
            <v>203938</v>
          </cell>
        </row>
        <row r="1281">
          <cell r="D1281">
            <v>203938</v>
          </cell>
        </row>
        <row r="1282">
          <cell r="D1282">
            <v>203938</v>
          </cell>
        </row>
        <row r="1283">
          <cell r="D1283">
            <v>203938</v>
          </cell>
        </row>
        <row r="1284">
          <cell r="D1284">
            <v>203938</v>
          </cell>
        </row>
        <row r="1285">
          <cell r="D1285">
            <v>203938</v>
          </cell>
        </row>
        <row r="1286">
          <cell r="D1286">
            <v>203938</v>
          </cell>
        </row>
        <row r="1287">
          <cell r="D1287">
            <v>203938</v>
          </cell>
        </row>
        <row r="1288">
          <cell r="D1288">
            <v>203938</v>
          </cell>
        </row>
        <row r="1289">
          <cell r="D1289">
            <v>203938</v>
          </cell>
        </row>
        <row r="1290">
          <cell r="D1290">
            <v>203938</v>
          </cell>
        </row>
        <row r="1291">
          <cell r="D1291">
            <v>203938</v>
          </cell>
        </row>
        <row r="1292">
          <cell r="D1292">
            <v>203938</v>
          </cell>
        </row>
        <row r="1293">
          <cell r="D1293">
            <v>203938</v>
          </cell>
        </row>
        <row r="1294">
          <cell r="D1294">
            <v>203938</v>
          </cell>
        </row>
        <row r="1295">
          <cell r="D1295">
            <v>203938</v>
          </cell>
        </row>
        <row r="1296">
          <cell r="D1296">
            <v>203938</v>
          </cell>
        </row>
        <row r="1297">
          <cell r="D1297">
            <v>203938</v>
          </cell>
        </row>
        <row r="1298">
          <cell r="D1298">
            <v>203938</v>
          </cell>
        </row>
        <row r="1299">
          <cell r="D1299">
            <v>203938</v>
          </cell>
        </row>
        <row r="1300">
          <cell r="D1300">
            <v>203939</v>
          </cell>
        </row>
        <row r="1301">
          <cell r="D1301">
            <v>203939</v>
          </cell>
        </row>
        <row r="1302">
          <cell r="D1302">
            <v>203939</v>
          </cell>
        </row>
        <row r="1303">
          <cell r="D1303">
            <v>203939</v>
          </cell>
        </row>
        <row r="1304">
          <cell r="D1304">
            <v>203939</v>
          </cell>
        </row>
        <row r="1305">
          <cell r="D1305">
            <v>203939</v>
          </cell>
        </row>
        <row r="1306">
          <cell r="D1306">
            <v>203939</v>
          </cell>
        </row>
        <row r="1307">
          <cell r="D1307">
            <v>203939</v>
          </cell>
        </row>
        <row r="1308">
          <cell r="D1308">
            <v>203939</v>
          </cell>
        </row>
        <row r="1309">
          <cell r="D1309">
            <v>203939</v>
          </cell>
        </row>
        <row r="1310">
          <cell r="D1310">
            <v>203939</v>
          </cell>
        </row>
        <row r="1311">
          <cell r="D1311">
            <v>203939</v>
          </cell>
        </row>
        <row r="1312">
          <cell r="D1312">
            <v>203939</v>
          </cell>
        </row>
        <row r="1313">
          <cell r="D1313">
            <v>203939</v>
          </cell>
        </row>
        <row r="1314">
          <cell r="D1314">
            <v>203939</v>
          </cell>
        </row>
        <row r="1315">
          <cell r="D1315">
            <v>203939</v>
          </cell>
        </row>
        <row r="1316">
          <cell r="D1316">
            <v>203939</v>
          </cell>
        </row>
        <row r="1317">
          <cell r="D1317">
            <v>203939</v>
          </cell>
        </row>
        <row r="1318">
          <cell r="D1318">
            <v>203940</v>
          </cell>
        </row>
        <row r="1319">
          <cell r="D1319">
            <v>203941</v>
          </cell>
        </row>
        <row r="1320">
          <cell r="D1320">
            <v>203942</v>
          </cell>
        </row>
        <row r="1321">
          <cell r="D1321">
            <v>203942</v>
          </cell>
        </row>
        <row r="1322">
          <cell r="D1322">
            <v>203942</v>
          </cell>
        </row>
        <row r="1323">
          <cell r="D1323">
            <v>203942</v>
          </cell>
        </row>
        <row r="1324">
          <cell r="D1324">
            <v>203942</v>
          </cell>
        </row>
        <row r="1325">
          <cell r="D1325">
            <v>203942</v>
          </cell>
        </row>
        <row r="1326">
          <cell r="D1326">
            <v>203942</v>
          </cell>
        </row>
        <row r="1327">
          <cell r="D1327">
            <v>203942</v>
          </cell>
        </row>
        <row r="1328">
          <cell r="D1328">
            <v>203942</v>
          </cell>
        </row>
        <row r="1329">
          <cell r="D1329">
            <v>203942</v>
          </cell>
        </row>
        <row r="1330">
          <cell r="D1330">
            <v>203942</v>
          </cell>
        </row>
        <row r="1331">
          <cell r="D1331">
            <v>203943</v>
          </cell>
        </row>
        <row r="1332">
          <cell r="D1332">
            <v>203943</v>
          </cell>
        </row>
        <row r="1333">
          <cell r="D1333">
            <v>203943</v>
          </cell>
        </row>
        <row r="1334">
          <cell r="D1334">
            <v>203943</v>
          </cell>
        </row>
        <row r="1335">
          <cell r="D1335">
            <v>203944</v>
          </cell>
        </row>
        <row r="1336">
          <cell r="D1336">
            <v>203945</v>
          </cell>
        </row>
        <row r="1337">
          <cell r="D1337">
            <v>203945</v>
          </cell>
        </row>
        <row r="1338">
          <cell r="D1338">
            <v>203945</v>
          </cell>
        </row>
        <row r="1339">
          <cell r="D1339">
            <v>203945</v>
          </cell>
        </row>
        <row r="1340">
          <cell r="D1340">
            <v>203945</v>
          </cell>
        </row>
        <row r="1341">
          <cell r="D1341">
            <v>203945</v>
          </cell>
        </row>
        <row r="1342">
          <cell r="D1342">
            <v>203945</v>
          </cell>
        </row>
        <row r="1343">
          <cell r="D1343">
            <v>203945</v>
          </cell>
        </row>
        <row r="1344">
          <cell r="D1344">
            <v>203945</v>
          </cell>
        </row>
        <row r="1345">
          <cell r="D1345">
            <v>203945</v>
          </cell>
        </row>
        <row r="1346">
          <cell r="D1346">
            <v>203945</v>
          </cell>
        </row>
        <row r="1347">
          <cell r="D1347">
            <v>203945</v>
          </cell>
        </row>
        <row r="1348">
          <cell r="D1348">
            <v>203945</v>
          </cell>
        </row>
        <row r="1349">
          <cell r="D1349">
            <v>203945</v>
          </cell>
        </row>
        <row r="1350">
          <cell r="D1350">
            <v>203945</v>
          </cell>
        </row>
        <row r="1351">
          <cell r="D1351">
            <v>203945</v>
          </cell>
        </row>
        <row r="1352">
          <cell r="D1352">
            <v>203945</v>
          </cell>
        </row>
        <row r="1353">
          <cell r="D1353">
            <v>203945</v>
          </cell>
        </row>
        <row r="1354">
          <cell r="D1354">
            <v>203945</v>
          </cell>
        </row>
        <row r="1355">
          <cell r="D1355">
            <v>203945</v>
          </cell>
        </row>
        <row r="1356">
          <cell r="D1356">
            <v>203945</v>
          </cell>
        </row>
        <row r="1357">
          <cell r="D1357">
            <v>203945</v>
          </cell>
        </row>
        <row r="1358">
          <cell r="D1358">
            <v>203945</v>
          </cell>
        </row>
        <row r="1359">
          <cell r="D1359">
            <v>203945</v>
          </cell>
        </row>
        <row r="1360">
          <cell r="D1360">
            <v>203945</v>
          </cell>
        </row>
        <row r="1361">
          <cell r="D1361">
            <v>203945</v>
          </cell>
        </row>
        <row r="1362">
          <cell r="D1362">
            <v>203946</v>
          </cell>
        </row>
        <row r="1363">
          <cell r="D1363">
            <v>203946</v>
          </cell>
        </row>
        <row r="1364">
          <cell r="D1364">
            <v>203946</v>
          </cell>
        </row>
        <row r="1365">
          <cell r="D1365">
            <v>203946</v>
          </cell>
        </row>
        <row r="1366">
          <cell r="D1366">
            <v>203946</v>
          </cell>
        </row>
        <row r="1367">
          <cell r="D1367">
            <v>203947</v>
          </cell>
        </row>
        <row r="1368">
          <cell r="D1368">
            <v>203947</v>
          </cell>
        </row>
        <row r="1369">
          <cell r="D1369">
            <v>203947</v>
          </cell>
        </row>
        <row r="1370">
          <cell r="D1370">
            <v>203947</v>
          </cell>
        </row>
        <row r="1371">
          <cell r="D1371">
            <v>203947</v>
          </cell>
        </row>
        <row r="1372">
          <cell r="D1372">
            <v>203947</v>
          </cell>
        </row>
        <row r="1373">
          <cell r="D1373">
            <v>203947</v>
          </cell>
        </row>
        <row r="1374">
          <cell r="D1374">
            <v>203947</v>
          </cell>
        </row>
        <row r="1375">
          <cell r="D1375">
            <v>203947</v>
          </cell>
        </row>
        <row r="1376">
          <cell r="D1376">
            <v>203947</v>
          </cell>
        </row>
        <row r="1377">
          <cell r="D1377">
            <v>203947</v>
          </cell>
        </row>
        <row r="1378">
          <cell r="D1378">
            <v>203947</v>
          </cell>
        </row>
        <row r="1379">
          <cell r="D1379">
            <v>203947</v>
          </cell>
        </row>
        <row r="1380">
          <cell r="D1380">
            <v>203948</v>
          </cell>
        </row>
        <row r="1381">
          <cell r="D1381">
            <v>203948</v>
          </cell>
        </row>
        <row r="1382">
          <cell r="D1382">
            <v>203948</v>
          </cell>
        </row>
        <row r="1383">
          <cell r="D1383">
            <v>203948</v>
          </cell>
        </row>
        <row r="1384">
          <cell r="D1384">
            <v>203949</v>
          </cell>
        </row>
        <row r="1385">
          <cell r="D1385">
            <v>203949</v>
          </cell>
        </row>
        <row r="1386">
          <cell r="D1386">
            <v>203950</v>
          </cell>
        </row>
        <row r="1387">
          <cell r="D1387">
            <v>203950</v>
          </cell>
        </row>
        <row r="1388">
          <cell r="D1388">
            <v>203950</v>
          </cell>
        </row>
        <row r="1389">
          <cell r="D1389">
            <v>203950</v>
          </cell>
        </row>
        <row r="1390">
          <cell r="D1390">
            <v>203950</v>
          </cell>
        </row>
        <row r="1391">
          <cell r="D1391">
            <v>203950</v>
          </cell>
        </row>
        <row r="1392">
          <cell r="D1392">
            <v>203950</v>
          </cell>
        </row>
        <row r="1393">
          <cell r="D1393">
            <v>203950</v>
          </cell>
        </row>
        <row r="1394">
          <cell r="D1394">
            <v>203950</v>
          </cell>
        </row>
        <row r="1395">
          <cell r="D1395">
            <v>203950</v>
          </cell>
        </row>
        <row r="1396">
          <cell r="D1396">
            <v>203950</v>
          </cell>
        </row>
        <row r="1397">
          <cell r="D1397">
            <v>203950</v>
          </cell>
        </row>
        <row r="1398">
          <cell r="D1398">
            <v>203950</v>
          </cell>
        </row>
        <row r="1399">
          <cell r="D1399">
            <v>203950</v>
          </cell>
        </row>
        <row r="1400">
          <cell r="D1400">
            <v>203950</v>
          </cell>
        </row>
        <row r="1401">
          <cell r="D1401">
            <v>203950</v>
          </cell>
        </row>
        <row r="1402">
          <cell r="D1402">
            <v>203950</v>
          </cell>
        </row>
        <row r="1403">
          <cell r="D1403">
            <v>203950</v>
          </cell>
        </row>
        <row r="1404">
          <cell r="D1404">
            <v>203950</v>
          </cell>
        </row>
        <row r="1405">
          <cell r="D1405">
            <v>203950</v>
          </cell>
        </row>
        <row r="1406">
          <cell r="D1406">
            <v>203950</v>
          </cell>
        </row>
        <row r="1407">
          <cell r="D1407">
            <v>203950</v>
          </cell>
        </row>
        <row r="1408">
          <cell r="D1408">
            <v>203951</v>
          </cell>
        </row>
        <row r="1409">
          <cell r="D1409">
            <v>203951</v>
          </cell>
        </row>
        <row r="1410">
          <cell r="D1410">
            <v>203951</v>
          </cell>
        </row>
        <row r="1411">
          <cell r="D1411">
            <v>203951</v>
          </cell>
        </row>
        <row r="1412">
          <cell r="D1412">
            <v>203951</v>
          </cell>
        </row>
        <row r="1413">
          <cell r="D1413">
            <v>203951</v>
          </cell>
        </row>
        <row r="1414">
          <cell r="D1414">
            <v>203951</v>
          </cell>
        </row>
        <row r="1415">
          <cell r="D1415">
            <v>203952</v>
          </cell>
        </row>
        <row r="1416">
          <cell r="D1416">
            <v>203952</v>
          </cell>
        </row>
        <row r="1417">
          <cell r="D1417">
            <v>203952</v>
          </cell>
        </row>
        <row r="1418">
          <cell r="D1418">
            <v>203953</v>
          </cell>
        </row>
        <row r="1419">
          <cell r="D1419">
            <v>203953</v>
          </cell>
        </row>
        <row r="1420">
          <cell r="D1420">
            <v>203954</v>
          </cell>
        </row>
        <row r="1421">
          <cell r="D1421">
            <v>203955</v>
          </cell>
        </row>
        <row r="1422">
          <cell r="D1422">
            <v>203955</v>
          </cell>
        </row>
        <row r="1423">
          <cell r="D1423">
            <v>203955</v>
          </cell>
        </row>
        <row r="1424">
          <cell r="D1424">
            <v>203956</v>
          </cell>
        </row>
        <row r="1425">
          <cell r="D1425">
            <v>203957</v>
          </cell>
        </row>
        <row r="1426">
          <cell r="D1426">
            <v>203957</v>
          </cell>
        </row>
        <row r="1427">
          <cell r="D1427">
            <v>203957</v>
          </cell>
        </row>
        <row r="1428">
          <cell r="D1428">
            <v>203957</v>
          </cell>
        </row>
        <row r="1429">
          <cell r="D1429">
            <v>203957</v>
          </cell>
        </row>
        <row r="1430">
          <cell r="D1430">
            <v>203958</v>
          </cell>
        </row>
        <row r="1431">
          <cell r="D1431">
            <v>203958</v>
          </cell>
        </row>
        <row r="1432">
          <cell r="D1432">
            <v>203958</v>
          </cell>
        </row>
        <row r="1433">
          <cell r="D1433">
            <v>203958</v>
          </cell>
        </row>
        <row r="1434">
          <cell r="D1434">
            <v>203958</v>
          </cell>
        </row>
        <row r="1435">
          <cell r="D1435">
            <v>203958</v>
          </cell>
        </row>
        <row r="1436">
          <cell r="D1436">
            <v>203958</v>
          </cell>
        </row>
        <row r="1437">
          <cell r="D1437">
            <v>203958</v>
          </cell>
        </row>
        <row r="1438">
          <cell r="D1438">
            <v>203958</v>
          </cell>
        </row>
        <row r="1439">
          <cell r="D1439">
            <v>203958</v>
          </cell>
        </row>
        <row r="1440">
          <cell r="D1440">
            <v>203958</v>
          </cell>
        </row>
        <row r="1441">
          <cell r="D1441">
            <v>203958</v>
          </cell>
        </row>
        <row r="1442">
          <cell r="D1442">
            <v>203958</v>
          </cell>
        </row>
        <row r="1443">
          <cell r="D1443">
            <v>203958</v>
          </cell>
        </row>
        <row r="1444">
          <cell r="D1444">
            <v>203959</v>
          </cell>
        </row>
        <row r="1445">
          <cell r="D1445">
            <v>203959</v>
          </cell>
        </row>
        <row r="1446">
          <cell r="D1446">
            <v>203959</v>
          </cell>
        </row>
        <row r="1447">
          <cell r="D1447">
            <v>203959</v>
          </cell>
        </row>
        <row r="1448">
          <cell r="D1448">
            <v>203959</v>
          </cell>
        </row>
        <row r="1449">
          <cell r="D1449">
            <v>203959</v>
          </cell>
        </row>
        <row r="1450">
          <cell r="D1450">
            <v>203959</v>
          </cell>
        </row>
        <row r="1451">
          <cell r="D1451">
            <v>203959</v>
          </cell>
        </row>
        <row r="1452">
          <cell r="D1452">
            <v>203959</v>
          </cell>
        </row>
        <row r="1453">
          <cell r="D1453">
            <v>203959</v>
          </cell>
        </row>
        <row r="1454">
          <cell r="D1454">
            <v>203959</v>
          </cell>
        </row>
        <row r="1455">
          <cell r="D1455">
            <v>203959</v>
          </cell>
        </row>
        <row r="1456">
          <cell r="D1456">
            <v>203959</v>
          </cell>
        </row>
        <row r="1457">
          <cell r="D1457">
            <v>203959</v>
          </cell>
        </row>
        <row r="1458">
          <cell r="D1458">
            <v>203959</v>
          </cell>
        </row>
        <row r="1459">
          <cell r="D1459">
            <v>203960</v>
          </cell>
        </row>
        <row r="1460">
          <cell r="D1460">
            <v>203960</v>
          </cell>
        </row>
        <row r="1461">
          <cell r="D1461">
            <v>203961</v>
          </cell>
        </row>
        <row r="1462">
          <cell r="D1462">
            <v>203962</v>
          </cell>
        </row>
        <row r="1463">
          <cell r="D1463">
            <v>203962</v>
          </cell>
        </row>
        <row r="1464">
          <cell r="D1464">
            <v>203962</v>
          </cell>
        </row>
        <row r="1465">
          <cell r="D1465">
            <v>203962</v>
          </cell>
        </row>
        <row r="1466">
          <cell r="D1466">
            <v>203962</v>
          </cell>
        </row>
        <row r="1467">
          <cell r="D1467">
            <v>203963</v>
          </cell>
        </row>
        <row r="1468">
          <cell r="D1468">
            <v>203964</v>
          </cell>
        </row>
        <row r="1469">
          <cell r="D1469">
            <v>203964</v>
          </cell>
        </row>
        <row r="1470">
          <cell r="D1470">
            <v>203964</v>
          </cell>
        </row>
        <row r="1471">
          <cell r="D1471">
            <v>203964</v>
          </cell>
        </row>
        <row r="1472">
          <cell r="D1472">
            <v>203965</v>
          </cell>
        </row>
        <row r="1473">
          <cell r="D1473">
            <v>203965</v>
          </cell>
        </row>
        <row r="1474">
          <cell r="D1474">
            <v>203965</v>
          </cell>
        </row>
        <row r="1475">
          <cell r="D1475">
            <v>203965</v>
          </cell>
        </row>
        <row r="1476">
          <cell r="D1476">
            <v>203965</v>
          </cell>
        </row>
        <row r="1477">
          <cell r="D1477">
            <v>203966</v>
          </cell>
        </row>
        <row r="1478">
          <cell r="D1478">
            <v>203966</v>
          </cell>
        </row>
        <row r="1479">
          <cell r="D1479">
            <v>203966</v>
          </cell>
        </row>
        <row r="1480">
          <cell r="D1480">
            <v>203966</v>
          </cell>
        </row>
        <row r="1481">
          <cell r="D1481">
            <v>203966</v>
          </cell>
        </row>
        <row r="1482">
          <cell r="D1482">
            <v>203966</v>
          </cell>
        </row>
        <row r="1483">
          <cell r="D1483">
            <v>203966</v>
          </cell>
        </row>
        <row r="1484">
          <cell r="D1484">
            <v>203966</v>
          </cell>
        </row>
        <row r="1485">
          <cell r="D1485">
            <v>203966</v>
          </cell>
        </row>
        <row r="1486">
          <cell r="D1486">
            <v>203966</v>
          </cell>
        </row>
        <row r="1487">
          <cell r="D1487">
            <v>203966</v>
          </cell>
        </row>
        <row r="1488">
          <cell r="D1488">
            <v>203966</v>
          </cell>
        </row>
        <row r="1489">
          <cell r="D1489">
            <v>203966</v>
          </cell>
        </row>
        <row r="1490">
          <cell r="D1490">
            <v>203966</v>
          </cell>
        </row>
        <row r="1491">
          <cell r="D1491">
            <v>203966</v>
          </cell>
        </row>
        <row r="1492">
          <cell r="D1492">
            <v>203966</v>
          </cell>
        </row>
        <row r="1493">
          <cell r="D1493">
            <v>203966</v>
          </cell>
        </row>
        <row r="1494">
          <cell r="D1494">
            <v>203966</v>
          </cell>
        </row>
        <row r="1495">
          <cell r="D1495">
            <v>203966</v>
          </cell>
        </row>
        <row r="1496">
          <cell r="D1496">
            <v>203966</v>
          </cell>
        </row>
        <row r="1497">
          <cell r="D1497">
            <v>203966</v>
          </cell>
        </row>
        <row r="1498">
          <cell r="D1498">
            <v>203966</v>
          </cell>
        </row>
        <row r="1499">
          <cell r="D1499">
            <v>203966</v>
          </cell>
        </row>
        <row r="1500">
          <cell r="D1500">
            <v>203966</v>
          </cell>
        </row>
        <row r="1501">
          <cell r="D1501">
            <v>203966</v>
          </cell>
        </row>
        <row r="1502">
          <cell r="D1502">
            <v>203966</v>
          </cell>
        </row>
        <row r="1503">
          <cell r="D1503">
            <v>203966</v>
          </cell>
        </row>
        <row r="1504">
          <cell r="D1504">
            <v>203966</v>
          </cell>
        </row>
        <row r="1505">
          <cell r="D1505">
            <v>203966</v>
          </cell>
        </row>
        <row r="1506">
          <cell r="D1506">
            <v>203966</v>
          </cell>
        </row>
        <row r="1507">
          <cell r="D1507">
            <v>203966</v>
          </cell>
        </row>
        <row r="1508">
          <cell r="D1508">
            <v>203966</v>
          </cell>
        </row>
        <row r="1509">
          <cell r="D1509">
            <v>203966</v>
          </cell>
        </row>
        <row r="1510">
          <cell r="D1510">
            <v>203966</v>
          </cell>
        </row>
        <row r="1511">
          <cell r="D1511">
            <v>203966</v>
          </cell>
        </row>
        <row r="1512">
          <cell r="D1512">
            <v>203966</v>
          </cell>
        </row>
        <row r="1513">
          <cell r="D1513">
            <v>203966</v>
          </cell>
        </row>
        <row r="1514">
          <cell r="D1514">
            <v>203966</v>
          </cell>
        </row>
        <row r="1515">
          <cell r="D1515">
            <v>203966</v>
          </cell>
        </row>
        <row r="1516">
          <cell r="D1516">
            <v>203966</v>
          </cell>
        </row>
        <row r="1517">
          <cell r="D1517">
            <v>203966</v>
          </cell>
        </row>
        <row r="1518">
          <cell r="D1518">
            <v>203966</v>
          </cell>
        </row>
        <row r="1519">
          <cell r="D1519">
            <v>203966</v>
          </cell>
        </row>
        <row r="1520">
          <cell r="D1520">
            <v>203966</v>
          </cell>
        </row>
        <row r="1521">
          <cell r="D1521">
            <v>203966</v>
          </cell>
        </row>
        <row r="1522">
          <cell r="D1522">
            <v>203966</v>
          </cell>
        </row>
        <row r="1523">
          <cell r="D1523">
            <v>203966</v>
          </cell>
        </row>
        <row r="1524">
          <cell r="D1524">
            <v>203966</v>
          </cell>
        </row>
        <row r="1525">
          <cell r="D1525">
            <v>203966</v>
          </cell>
        </row>
        <row r="1526">
          <cell r="D1526">
            <v>203967</v>
          </cell>
        </row>
        <row r="1527">
          <cell r="D1527">
            <v>203967</v>
          </cell>
        </row>
        <row r="1528">
          <cell r="D1528">
            <v>203967</v>
          </cell>
        </row>
        <row r="1529">
          <cell r="D1529">
            <v>203967</v>
          </cell>
        </row>
        <row r="1530">
          <cell r="D1530">
            <v>203967</v>
          </cell>
        </row>
        <row r="1531">
          <cell r="D1531">
            <v>203967</v>
          </cell>
        </row>
        <row r="1532">
          <cell r="D1532">
            <v>203967</v>
          </cell>
        </row>
        <row r="1533">
          <cell r="D1533">
            <v>203967</v>
          </cell>
        </row>
        <row r="1534">
          <cell r="D1534">
            <v>203968</v>
          </cell>
        </row>
        <row r="1535">
          <cell r="D1535">
            <v>203968</v>
          </cell>
        </row>
        <row r="1536">
          <cell r="D1536">
            <v>203968</v>
          </cell>
        </row>
        <row r="1537">
          <cell r="D1537">
            <v>203969</v>
          </cell>
        </row>
        <row r="1538">
          <cell r="D1538">
            <v>203969</v>
          </cell>
        </row>
        <row r="1539">
          <cell r="D1539">
            <v>203970</v>
          </cell>
        </row>
        <row r="1540">
          <cell r="D1540">
            <v>203971</v>
          </cell>
        </row>
        <row r="1541">
          <cell r="D1541">
            <v>203971</v>
          </cell>
        </row>
        <row r="1542">
          <cell r="D1542">
            <v>203971</v>
          </cell>
        </row>
        <row r="1543">
          <cell r="D1543">
            <v>203971</v>
          </cell>
        </row>
        <row r="1544">
          <cell r="D1544">
            <v>203971</v>
          </cell>
        </row>
        <row r="1545">
          <cell r="D1545">
            <v>203971</v>
          </cell>
        </row>
        <row r="1546">
          <cell r="D1546">
            <v>203971</v>
          </cell>
        </row>
        <row r="1547">
          <cell r="D1547">
            <v>203971</v>
          </cell>
        </row>
        <row r="1548">
          <cell r="D1548">
            <v>203971</v>
          </cell>
        </row>
        <row r="1549">
          <cell r="D1549">
            <v>203971</v>
          </cell>
        </row>
        <row r="1550">
          <cell r="D1550">
            <v>203971</v>
          </cell>
        </row>
        <row r="1551">
          <cell r="D1551">
            <v>203971</v>
          </cell>
        </row>
        <row r="1552">
          <cell r="D1552">
            <v>203971</v>
          </cell>
        </row>
        <row r="1553">
          <cell r="D1553">
            <v>203971</v>
          </cell>
        </row>
        <row r="1554">
          <cell r="D1554">
            <v>203971</v>
          </cell>
        </row>
        <row r="1555">
          <cell r="D1555">
            <v>203971</v>
          </cell>
        </row>
        <row r="1556">
          <cell r="D1556">
            <v>203971</v>
          </cell>
        </row>
        <row r="1557">
          <cell r="D1557">
            <v>203971</v>
          </cell>
        </row>
        <row r="1558">
          <cell r="D1558">
            <v>203971</v>
          </cell>
        </row>
        <row r="1559">
          <cell r="D1559">
            <v>203971</v>
          </cell>
        </row>
        <row r="1560">
          <cell r="D1560">
            <v>203971</v>
          </cell>
        </row>
        <row r="1561">
          <cell r="D1561">
            <v>203971</v>
          </cell>
        </row>
        <row r="1562">
          <cell r="D1562">
            <v>203971</v>
          </cell>
        </row>
        <row r="1563">
          <cell r="D1563">
            <v>203971</v>
          </cell>
        </row>
        <row r="1564">
          <cell r="D1564">
            <v>203971</v>
          </cell>
        </row>
        <row r="1565">
          <cell r="D1565">
            <v>203971</v>
          </cell>
        </row>
        <row r="1566">
          <cell r="D1566">
            <v>203971</v>
          </cell>
        </row>
        <row r="1567">
          <cell r="D1567">
            <v>203971</v>
          </cell>
        </row>
        <row r="1568">
          <cell r="D1568">
            <v>203971</v>
          </cell>
        </row>
        <row r="1569">
          <cell r="D1569">
            <v>203971</v>
          </cell>
        </row>
        <row r="1570">
          <cell r="D1570">
            <v>203971</v>
          </cell>
        </row>
        <row r="1571">
          <cell r="D1571">
            <v>203971</v>
          </cell>
        </row>
        <row r="1572">
          <cell r="D1572">
            <v>203971</v>
          </cell>
        </row>
        <row r="1573">
          <cell r="D1573">
            <v>203971</v>
          </cell>
        </row>
        <row r="1574">
          <cell r="D1574">
            <v>203971</v>
          </cell>
        </row>
        <row r="1575">
          <cell r="D1575">
            <v>203971</v>
          </cell>
        </row>
        <row r="1576">
          <cell r="D1576">
            <v>203971</v>
          </cell>
        </row>
        <row r="1577">
          <cell r="D1577">
            <v>203971</v>
          </cell>
        </row>
        <row r="1578">
          <cell r="D1578">
            <v>203971</v>
          </cell>
        </row>
        <row r="1579">
          <cell r="D1579">
            <v>203971</v>
          </cell>
        </row>
        <row r="1580">
          <cell r="D1580">
            <v>203971</v>
          </cell>
        </row>
        <row r="1581">
          <cell r="D1581">
            <v>203971</v>
          </cell>
        </row>
        <row r="1582">
          <cell r="D1582">
            <v>203971</v>
          </cell>
        </row>
        <row r="1583">
          <cell r="D1583">
            <v>203971</v>
          </cell>
        </row>
        <row r="1584">
          <cell r="D1584">
            <v>203971</v>
          </cell>
        </row>
        <row r="1585">
          <cell r="D1585">
            <v>203971</v>
          </cell>
        </row>
        <row r="1586">
          <cell r="D1586">
            <v>203971</v>
          </cell>
        </row>
        <row r="1587">
          <cell r="D1587">
            <v>203972</v>
          </cell>
        </row>
        <row r="1588">
          <cell r="D1588">
            <v>203972</v>
          </cell>
        </row>
        <row r="1589">
          <cell r="D1589">
            <v>203972</v>
          </cell>
        </row>
        <row r="1590">
          <cell r="D1590">
            <v>203972</v>
          </cell>
        </row>
        <row r="1591">
          <cell r="D1591">
            <v>203973</v>
          </cell>
        </row>
        <row r="1592">
          <cell r="D1592">
            <v>203973</v>
          </cell>
        </row>
        <row r="1593">
          <cell r="D1593">
            <v>203973</v>
          </cell>
        </row>
        <row r="1594">
          <cell r="D1594">
            <v>203973</v>
          </cell>
        </row>
        <row r="1595">
          <cell r="D1595">
            <v>203973</v>
          </cell>
        </row>
        <row r="1596">
          <cell r="D1596">
            <v>203973</v>
          </cell>
        </row>
        <row r="1597">
          <cell r="D1597">
            <v>203973</v>
          </cell>
        </row>
        <row r="1598">
          <cell r="D1598">
            <v>203973</v>
          </cell>
        </row>
        <row r="1599">
          <cell r="D1599">
            <v>203973</v>
          </cell>
        </row>
        <row r="1600">
          <cell r="D1600">
            <v>203973</v>
          </cell>
        </row>
        <row r="1601">
          <cell r="D1601">
            <v>203974</v>
          </cell>
        </row>
        <row r="1602">
          <cell r="D1602">
            <v>203974</v>
          </cell>
        </row>
        <row r="1603">
          <cell r="D1603">
            <v>203974</v>
          </cell>
        </row>
        <row r="1604">
          <cell r="D1604">
            <v>203974</v>
          </cell>
        </row>
        <row r="1605">
          <cell r="D1605">
            <v>203974</v>
          </cell>
        </row>
        <row r="1606">
          <cell r="D1606">
            <v>203974</v>
          </cell>
        </row>
        <row r="1607">
          <cell r="D1607">
            <v>203974</v>
          </cell>
        </row>
        <row r="1608">
          <cell r="D1608">
            <v>203974</v>
          </cell>
        </row>
        <row r="1609">
          <cell r="D1609">
            <v>203974</v>
          </cell>
        </row>
        <row r="1610">
          <cell r="D1610">
            <v>203974</v>
          </cell>
        </row>
        <row r="1611">
          <cell r="D1611">
            <v>203974</v>
          </cell>
        </row>
        <row r="1612">
          <cell r="D1612">
            <v>203974</v>
          </cell>
        </row>
        <row r="1613">
          <cell r="D1613">
            <v>203974</v>
          </cell>
        </row>
        <row r="1614">
          <cell r="D1614">
            <v>203974</v>
          </cell>
        </row>
        <row r="1615">
          <cell r="D1615">
            <v>203974</v>
          </cell>
        </row>
        <row r="1616">
          <cell r="D1616">
            <v>203974</v>
          </cell>
        </row>
        <row r="1617">
          <cell r="D1617">
            <v>203974</v>
          </cell>
        </row>
        <row r="1618">
          <cell r="D1618">
            <v>203974</v>
          </cell>
        </row>
        <row r="1619">
          <cell r="D1619">
            <v>203974</v>
          </cell>
        </row>
        <row r="1620">
          <cell r="D1620">
            <v>203974</v>
          </cell>
        </row>
        <row r="1621">
          <cell r="D1621">
            <v>203974</v>
          </cell>
        </row>
        <row r="1622">
          <cell r="D1622">
            <v>203974</v>
          </cell>
        </row>
        <row r="1623">
          <cell r="D1623">
            <v>203974</v>
          </cell>
        </row>
        <row r="1624">
          <cell r="D1624">
            <v>203974</v>
          </cell>
        </row>
        <row r="1625">
          <cell r="D1625">
            <v>203974</v>
          </cell>
        </row>
        <row r="1626">
          <cell r="D1626">
            <v>203974</v>
          </cell>
        </row>
        <row r="1627">
          <cell r="D1627">
            <v>203974</v>
          </cell>
        </row>
        <row r="1628">
          <cell r="D1628">
            <v>203974</v>
          </cell>
        </row>
        <row r="1629">
          <cell r="D1629">
            <v>203974</v>
          </cell>
        </row>
        <row r="1630">
          <cell r="D1630">
            <v>203974</v>
          </cell>
        </row>
        <row r="1631">
          <cell r="D1631">
            <v>203975</v>
          </cell>
        </row>
        <row r="1632">
          <cell r="D1632">
            <v>203975</v>
          </cell>
        </row>
        <row r="1633">
          <cell r="D1633">
            <v>203975</v>
          </cell>
        </row>
        <row r="1634">
          <cell r="D1634">
            <v>203975</v>
          </cell>
        </row>
        <row r="1635">
          <cell r="D1635">
            <v>203976</v>
          </cell>
        </row>
        <row r="1636">
          <cell r="D1636">
            <v>203977</v>
          </cell>
        </row>
        <row r="1637">
          <cell r="D1637">
            <v>203977</v>
          </cell>
        </row>
        <row r="1638">
          <cell r="D1638">
            <v>203977</v>
          </cell>
        </row>
        <row r="1639">
          <cell r="D1639">
            <v>203977</v>
          </cell>
        </row>
        <row r="1640">
          <cell r="D1640">
            <v>203977</v>
          </cell>
        </row>
        <row r="1641">
          <cell r="D1641">
            <v>203977</v>
          </cell>
        </row>
        <row r="1642">
          <cell r="D1642">
            <v>203977</v>
          </cell>
        </row>
        <row r="1643">
          <cell r="D1643">
            <v>203977</v>
          </cell>
        </row>
        <row r="1644">
          <cell r="D1644">
            <v>203977</v>
          </cell>
        </row>
        <row r="1645">
          <cell r="D1645">
            <v>203977</v>
          </cell>
        </row>
        <row r="1646">
          <cell r="D1646">
            <v>203977</v>
          </cell>
        </row>
        <row r="1647">
          <cell r="D1647">
            <v>203977</v>
          </cell>
        </row>
        <row r="1648">
          <cell r="D1648">
            <v>203977</v>
          </cell>
        </row>
        <row r="1649">
          <cell r="D1649">
            <v>203977</v>
          </cell>
        </row>
        <row r="1650">
          <cell r="D1650">
            <v>203977</v>
          </cell>
        </row>
        <row r="1651">
          <cell r="D1651">
            <v>203977</v>
          </cell>
        </row>
        <row r="1652">
          <cell r="D1652">
            <v>203977</v>
          </cell>
        </row>
        <row r="1653">
          <cell r="D1653">
            <v>203977</v>
          </cell>
        </row>
        <row r="1654">
          <cell r="D1654">
            <v>203977</v>
          </cell>
        </row>
        <row r="1655">
          <cell r="D1655">
            <v>203977</v>
          </cell>
        </row>
        <row r="1656">
          <cell r="D1656">
            <v>203978</v>
          </cell>
        </row>
        <row r="1657">
          <cell r="D1657">
            <v>203978</v>
          </cell>
        </row>
        <row r="1658">
          <cell r="D1658">
            <v>203979</v>
          </cell>
        </row>
        <row r="1659">
          <cell r="D1659">
            <v>203979</v>
          </cell>
        </row>
        <row r="1660">
          <cell r="D1660">
            <v>203979</v>
          </cell>
        </row>
        <row r="1661">
          <cell r="D1661">
            <v>203980</v>
          </cell>
        </row>
        <row r="1662">
          <cell r="D1662">
            <v>203981</v>
          </cell>
        </row>
        <row r="1663">
          <cell r="D1663">
            <v>203981</v>
          </cell>
        </row>
        <row r="1664">
          <cell r="D1664">
            <v>203981</v>
          </cell>
        </row>
        <row r="1665">
          <cell r="D1665">
            <v>203981</v>
          </cell>
        </row>
        <row r="1666">
          <cell r="D1666">
            <v>203981</v>
          </cell>
        </row>
        <row r="1667">
          <cell r="D1667">
            <v>203981</v>
          </cell>
        </row>
        <row r="1668">
          <cell r="D1668">
            <v>203981</v>
          </cell>
        </row>
        <row r="1669">
          <cell r="D1669">
            <v>203981</v>
          </cell>
        </row>
        <row r="1670">
          <cell r="D1670">
            <v>203981</v>
          </cell>
        </row>
        <row r="1671">
          <cell r="D1671">
            <v>203981</v>
          </cell>
        </row>
        <row r="1672">
          <cell r="D1672">
            <v>203981</v>
          </cell>
        </row>
        <row r="1673">
          <cell r="D1673">
            <v>203981</v>
          </cell>
        </row>
        <row r="1674">
          <cell r="D1674">
            <v>203981</v>
          </cell>
        </row>
        <row r="1675">
          <cell r="D1675">
            <v>203981</v>
          </cell>
        </row>
        <row r="1676">
          <cell r="D1676">
            <v>203981</v>
          </cell>
        </row>
        <row r="1677">
          <cell r="D1677">
            <v>203981</v>
          </cell>
        </row>
        <row r="1678">
          <cell r="D1678">
            <v>203981</v>
          </cell>
        </row>
        <row r="1679">
          <cell r="D1679">
            <v>203981</v>
          </cell>
        </row>
        <row r="1680">
          <cell r="D1680">
            <v>203981</v>
          </cell>
        </row>
        <row r="1681">
          <cell r="D1681">
            <v>203981</v>
          </cell>
        </row>
        <row r="1682">
          <cell r="D1682">
            <v>203981</v>
          </cell>
        </row>
        <row r="1683">
          <cell r="D1683">
            <v>203981</v>
          </cell>
        </row>
        <row r="1684">
          <cell r="D1684">
            <v>203981</v>
          </cell>
        </row>
        <row r="1685">
          <cell r="D1685">
            <v>203982</v>
          </cell>
        </row>
        <row r="1686">
          <cell r="D1686">
            <v>203982</v>
          </cell>
        </row>
        <row r="1687">
          <cell r="D1687">
            <v>203982</v>
          </cell>
        </row>
        <row r="1688">
          <cell r="D1688">
            <v>203983</v>
          </cell>
        </row>
        <row r="1689">
          <cell r="D1689">
            <v>203983</v>
          </cell>
        </row>
        <row r="1690">
          <cell r="D1690">
            <v>203983</v>
          </cell>
        </row>
        <row r="1691">
          <cell r="D1691">
            <v>203983</v>
          </cell>
        </row>
        <row r="1692">
          <cell r="D1692">
            <v>203983</v>
          </cell>
        </row>
        <row r="1693">
          <cell r="D1693">
            <v>203983</v>
          </cell>
        </row>
        <row r="1694">
          <cell r="D1694">
            <v>203983</v>
          </cell>
        </row>
        <row r="1695">
          <cell r="D1695">
            <v>203984</v>
          </cell>
        </row>
        <row r="1696">
          <cell r="D1696">
            <v>203984</v>
          </cell>
        </row>
        <row r="1697">
          <cell r="D1697">
            <v>203984</v>
          </cell>
        </row>
        <row r="1698">
          <cell r="D1698">
            <v>203984</v>
          </cell>
        </row>
        <row r="1699">
          <cell r="D1699">
            <v>203984</v>
          </cell>
        </row>
        <row r="1700">
          <cell r="D1700">
            <v>203984</v>
          </cell>
        </row>
        <row r="1701">
          <cell r="D1701">
            <v>203984</v>
          </cell>
        </row>
        <row r="1702">
          <cell r="D1702">
            <v>203984</v>
          </cell>
        </row>
        <row r="1703">
          <cell r="D1703">
            <v>203984</v>
          </cell>
        </row>
        <row r="1704">
          <cell r="D1704">
            <v>203984</v>
          </cell>
        </row>
        <row r="1705">
          <cell r="D1705">
            <v>203984</v>
          </cell>
        </row>
        <row r="1706">
          <cell r="D1706">
            <v>203984</v>
          </cell>
        </row>
        <row r="1707">
          <cell r="D1707">
            <v>203984</v>
          </cell>
        </row>
        <row r="1708">
          <cell r="D1708">
            <v>203984</v>
          </cell>
        </row>
        <row r="1709">
          <cell r="D1709">
            <v>203984</v>
          </cell>
        </row>
        <row r="1710">
          <cell r="D1710">
            <v>203984</v>
          </cell>
        </row>
        <row r="1711">
          <cell r="D1711">
            <v>203984</v>
          </cell>
        </row>
        <row r="1712">
          <cell r="D1712">
            <v>203984</v>
          </cell>
        </row>
        <row r="1713">
          <cell r="D1713">
            <v>203984</v>
          </cell>
        </row>
        <row r="1714">
          <cell r="D1714">
            <v>203984</v>
          </cell>
        </row>
        <row r="1715">
          <cell r="D1715">
            <v>203984</v>
          </cell>
        </row>
        <row r="1716">
          <cell r="D1716">
            <v>203984</v>
          </cell>
        </row>
        <row r="1717">
          <cell r="D1717">
            <v>203984</v>
          </cell>
        </row>
        <row r="1718">
          <cell r="D1718">
            <v>203984</v>
          </cell>
        </row>
        <row r="1719">
          <cell r="D1719">
            <v>203984</v>
          </cell>
        </row>
        <row r="1720">
          <cell r="D1720">
            <v>203985</v>
          </cell>
        </row>
        <row r="1721">
          <cell r="D1721">
            <v>203985</v>
          </cell>
        </row>
        <row r="1722">
          <cell r="D1722">
            <v>203985</v>
          </cell>
        </row>
        <row r="1723">
          <cell r="D1723">
            <v>203985</v>
          </cell>
        </row>
        <row r="1724">
          <cell r="D1724">
            <v>203985</v>
          </cell>
        </row>
        <row r="1725">
          <cell r="D1725">
            <v>203985</v>
          </cell>
        </row>
        <row r="1726">
          <cell r="D1726">
            <v>203985</v>
          </cell>
        </row>
        <row r="1727">
          <cell r="D1727">
            <v>203985</v>
          </cell>
        </row>
        <row r="1728">
          <cell r="D1728">
            <v>203985</v>
          </cell>
        </row>
        <row r="1729">
          <cell r="D1729">
            <v>203985</v>
          </cell>
        </row>
        <row r="1730">
          <cell r="D1730">
            <v>203985</v>
          </cell>
        </row>
        <row r="1731">
          <cell r="D1731">
            <v>203985</v>
          </cell>
        </row>
        <row r="1732">
          <cell r="D1732">
            <v>203985</v>
          </cell>
        </row>
        <row r="1733">
          <cell r="D1733">
            <v>203985</v>
          </cell>
        </row>
        <row r="1734">
          <cell r="D1734">
            <v>203985</v>
          </cell>
        </row>
        <row r="1735">
          <cell r="D1735">
            <v>203985</v>
          </cell>
        </row>
        <row r="1736">
          <cell r="D1736">
            <v>203985</v>
          </cell>
        </row>
        <row r="1737">
          <cell r="D1737">
            <v>203985</v>
          </cell>
        </row>
        <row r="1738">
          <cell r="D1738">
            <v>203986</v>
          </cell>
        </row>
        <row r="1739">
          <cell r="D1739">
            <v>203986</v>
          </cell>
        </row>
        <row r="1740">
          <cell r="D1740">
            <v>203986</v>
          </cell>
        </row>
        <row r="1741">
          <cell r="D1741">
            <v>203986</v>
          </cell>
        </row>
        <row r="1742">
          <cell r="D1742">
            <v>203986</v>
          </cell>
        </row>
        <row r="1743">
          <cell r="D1743">
            <v>203986</v>
          </cell>
        </row>
        <row r="1744">
          <cell r="D1744">
            <v>203986</v>
          </cell>
        </row>
        <row r="1745">
          <cell r="D1745">
            <v>203986</v>
          </cell>
        </row>
        <row r="1746">
          <cell r="D1746">
            <v>203986</v>
          </cell>
        </row>
        <row r="1747">
          <cell r="D1747">
            <v>203986</v>
          </cell>
        </row>
        <row r="1748">
          <cell r="D1748">
            <v>203986</v>
          </cell>
        </row>
        <row r="1749">
          <cell r="D1749">
            <v>203986</v>
          </cell>
        </row>
        <row r="1750">
          <cell r="D1750">
            <v>203986</v>
          </cell>
        </row>
        <row r="1751">
          <cell r="D1751">
            <v>203986</v>
          </cell>
        </row>
        <row r="1752">
          <cell r="D1752">
            <v>203986</v>
          </cell>
        </row>
        <row r="1753">
          <cell r="D1753">
            <v>203986</v>
          </cell>
        </row>
        <row r="1754">
          <cell r="D1754">
            <v>203986</v>
          </cell>
        </row>
        <row r="1755">
          <cell r="D1755">
            <v>203986</v>
          </cell>
        </row>
        <row r="1756">
          <cell r="D1756">
            <v>203986</v>
          </cell>
        </row>
        <row r="1757">
          <cell r="D1757">
            <v>203986</v>
          </cell>
        </row>
        <row r="1758">
          <cell r="D1758">
            <v>203986</v>
          </cell>
        </row>
        <row r="1759">
          <cell r="D1759">
            <v>203986</v>
          </cell>
        </row>
        <row r="1760">
          <cell r="D1760">
            <v>203986</v>
          </cell>
        </row>
        <row r="1761">
          <cell r="D1761">
            <v>203986</v>
          </cell>
        </row>
        <row r="1762">
          <cell r="D1762">
            <v>203986</v>
          </cell>
        </row>
        <row r="1763">
          <cell r="D1763">
            <v>203986</v>
          </cell>
        </row>
        <row r="1764">
          <cell r="D1764">
            <v>203986</v>
          </cell>
        </row>
        <row r="1765">
          <cell r="D1765">
            <v>203986</v>
          </cell>
        </row>
        <row r="1766">
          <cell r="D1766">
            <v>203986</v>
          </cell>
        </row>
        <row r="1767">
          <cell r="D1767">
            <v>203986</v>
          </cell>
        </row>
        <row r="1768">
          <cell r="D1768">
            <v>203986</v>
          </cell>
        </row>
        <row r="1769">
          <cell r="D1769">
            <v>203986</v>
          </cell>
        </row>
        <row r="1770">
          <cell r="D1770">
            <v>203986</v>
          </cell>
        </row>
        <row r="1771">
          <cell r="D1771">
            <v>203986</v>
          </cell>
        </row>
        <row r="1772">
          <cell r="D1772">
            <v>203986</v>
          </cell>
        </row>
        <row r="1773">
          <cell r="D1773">
            <v>203986</v>
          </cell>
        </row>
        <row r="1774">
          <cell r="D1774">
            <v>203986</v>
          </cell>
        </row>
        <row r="1775">
          <cell r="D1775">
            <v>203986</v>
          </cell>
        </row>
        <row r="1776">
          <cell r="D1776">
            <v>203986</v>
          </cell>
        </row>
        <row r="1777">
          <cell r="D1777">
            <v>203986</v>
          </cell>
        </row>
        <row r="1778">
          <cell r="D1778">
            <v>203986</v>
          </cell>
        </row>
        <row r="1779">
          <cell r="D1779">
            <v>203986</v>
          </cell>
        </row>
        <row r="1780">
          <cell r="D1780">
            <v>203986</v>
          </cell>
        </row>
        <row r="1781">
          <cell r="D1781">
            <v>203986</v>
          </cell>
        </row>
        <row r="1782">
          <cell r="D1782">
            <v>203986</v>
          </cell>
        </row>
        <row r="1783">
          <cell r="D1783">
            <v>203986</v>
          </cell>
        </row>
        <row r="1784">
          <cell r="D1784">
            <v>203986</v>
          </cell>
        </row>
        <row r="1785">
          <cell r="D1785">
            <v>203986</v>
          </cell>
        </row>
        <row r="1786">
          <cell r="D1786">
            <v>203986</v>
          </cell>
        </row>
        <row r="1787">
          <cell r="D1787">
            <v>203986</v>
          </cell>
        </row>
        <row r="1788">
          <cell r="D1788">
            <v>203986</v>
          </cell>
        </row>
        <row r="1789">
          <cell r="D1789">
            <v>203986</v>
          </cell>
        </row>
        <row r="1790">
          <cell r="D1790">
            <v>203986</v>
          </cell>
        </row>
        <row r="1791">
          <cell r="D1791">
            <v>203986</v>
          </cell>
        </row>
        <row r="1792">
          <cell r="D1792">
            <v>203986</v>
          </cell>
        </row>
        <row r="1793">
          <cell r="D1793">
            <v>203986</v>
          </cell>
        </row>
        <row r="1794">
          <cell r="D1794">
            <v>203986</v>
          </cell>
        </row>
        <row r="1795">
          <cell r="D1795">
            <v>203986</v>
          </cell>
        </row>
        <row r="1796">
          <cell r="D1796">
            <v>203986</v>
          </cell>
        </row>
        <row r="1797">
          <cell r="D1797">
            <v>203986</v>
          </cell>
        </row>
        <row r="1798">
          <cell r="D1798">
            <v>203986</v>
          </cell>
        </row>
        <row r="1799">
          <cell r="D1799">
            <v>203986</v>
          </cell>
        </row>
        <row r="1800">
          <cell r="D1800">
            <v>203986</v>
          </cell>
        </row>
        <row r="1801">
          <cell r="D1801">
            <v>203986</v>
          </cell>
        </row>
        <row r="1802">
          <cell r="D1802">
            <v>203986</v>
          </cell>
        </row>
        <row r="1803">
          <cell r="D1803">
            <v>203986</v>
          </cell>
        </row>
        <row r="1804">
          <cell r="D1804">
            <v>203986</v>
          </cell>
        </row>
        <row r="1805">
          <cell r="D1805">
            <v>203986</v>
          </cell>
        </row>
        <row r="1806">
          <cell r="D1806">
            <v>203987</v>
          </cell>
        </row>
        <row r="1807">
          <cell r="D1807">
            <v>203987</v>
          </cell>
        </row>
        <row r="1808">
          <cell r="D1808">
            <v>203987</v>
          </cell>
        </row>
        <row r="1809">
          <cell r="D1809">
            <v>203987</v>
          </cell>
        </row>
        <row r="1810">
          <cell r="D1810">
            <v>203987</v>
          </cell>
        </row>
        <row r="1811">
          <cell r="D1811">
            <v>203987</v>
          </cell>
        </row>
        <row r="1812">
          <cell r="D1812">
            <v>203987</v>
          </cell>
        </row>
        <row r="1813">
          <cell r="D1813">
            <v>203987</v>
          </cell>
        </row>
        <row r="1814">
          <cell r="D1814">
            <v>203987</v>
          </cell>
        </row>
        <row r="1815">
          <cell r="D1815">
            <v>203987</v>
          </cell>
        </row>
        <row r="1816">
          <cell r="D1816">
            <v>203987</v>
          </cell>
        </row>
        <row r="1817">
          <cell r="D1817">
            <v>203988</v>
          </cell>
        </row>
        <row r="1818">
          <cell r="D1818">
            <v>203988</v>
          </cell>
        </row>
        <row r="1819">
          <cell r="D1819">
            <v>203988</v>
          </cell>
        </row>
        <row r="1820">
          <cell r="D1820">
            <v>203988</v>
          </cell>
        </row>
        <row r="1821">
          <cell r="D1821">
            <v>203988</v>
          </cell>
        </row>
        <row r="1822">
          <cell r="D1822">
            <v>203988</v>
          </cell>
        </row>
        <row r="1823">
          <cell r="D1823">
            <v>203988</v>
          </cell>
        </row>
        <row r="1824">
          <cell r="D1824">
            <v>203988</v>
          </cell>
        </row>
        <row r="1825">
          <cell r="D1825">
            <v>203988</v>
          </cell>
        </row>
        <row r="1826">
          <cell r="D1826">
            <v>203988</v>
          </cell>
        </row>
        <row r="1827">
          <cell r="D1827">
            <v>203988</v>
          </cell>
        </row>
        <row r="1828">
          <cell r="D1828">
            <v>203988</v>
          </cell>
        </row>
        <row r="1829">
          <cell r="D1829">
            <v>203988</v>
          </cell>
        </row>
        <row r="1830">
          <cell r="D1830">
            <v>203988</v>
          </cell>
        </row>
        <row r="1831">
          <cell r="D1831">
            <v>203988</v>
          </cell>
        </row>
        <row r="1832">
          <cell r="D1832">
            <v>203988</v>
          </cell>
        </row>
        <row r="1833">
          <cell r="D1833">
            <v>203988</v>
          </cell>
        </row>
        <row r="1834">
          <cell r="D1834">
            <v>203988</v>
          </cell>
        </row>
        <row r="1835">
          <cell r="D1835">
            <v>203988</v>
          </cell>
        </row>
        <row r="1836">
          <cell r="D1836">
            <v>203988</v>
          </cell>
        </row>
        <row r="1837">
          <cell r="D1837">
            <v>203988</v>
          </cell>
        </row>
        <row r="1838">
          <cell r="D1838">
            <v>203988</v>
          </cell>
        </row>
        <row r="1839">
          <cell r="D1839">
            <v>203988</v>
          </cell>
        </row>
        <row r="1840">
          <cell r="D1840">
            <v>203988</v>
          </cell>
        </row>
        <row r="1841">
          <cell r="D1841">
            <v>203988</v>
          </cell>
        </row>
        <row r="1842">
          <cell r="D1842">
            <v>203988</v>
          </cell>
        </row>
        <row r="1843">
          <cell r="D1843">
            <v>203988</v>
          </cell>
        </row>
        <row r="1844">
          <cell r="D1844">
            <v>203988</v>
          </cell>
        </row>
        <row r="1845">
          <cell r="D1845">
            <v>203988</v>
          </cell>
        </row>
        <row r="1846">
          <cell r="D1846">
            <v>203988</v>
          </cell>
        </row>
        <row r="1847">
          <cell r="D1847">
            <v>203988</v>
          </cell>
        </row>
        <row r="1848">
          <cell r="D1848">
            <v>203988</v>
          </cell>
        </row>
        <row r="1849">
          <cell r="D1849">
            <v>203988</v>
          </cell>
        </row>
        <row r="1850">
          <cell r="D1850">
            <v>203988</v>
          </cell>
        </row>
        <row r="1851">
          <cell r="D1851">
            <v>203988</v>
          </cell>
        </row>
        <row r="1852">
          <cell r="D1852">
            <v>203988</v>
          </cell>
        </row>
        <row r="1853">
          <cell r="D1853">
            <v>203988</v>
          </cell>
        </row>
        <row r="1854">
          <cell r="D1854">
            <v>203988</v>
          </cell>
        </row>
        <row r="1855">
          <cell r="D1855">
            <v>203988</v>
          </cell>
        </row>
        <row r="1856">
          <cell r="D1856">
            <v>203988</v>
          </cell>
        </row>
        <row r="1857">
          <cell r="D1857">
            <v>203988</v>
          </cell>
        </row>
        <row r="1858">
          <cell r="D1858">
            <v>203988</v>
          </cell>
        </row>
        <row r="1859">
          <cell r="D1859">
            <v>203988</v>
          </cell>
        </row>
        <row r="1860">
          <cell r="D1860">
            <v>203988</v>
          </cell>
        </row>
        <row r="1861">
          <cell r="D1861">
            <v>203988</v>
          </cell>
        </row>
        <row r="1862">
          <cell r="D1862">
            <v>203988</v>
          </cell>
        </row>
        <row r="1863">
          <cell r="D1863">
            <v>203988</v>
          </cell>
        </row>
        <row r="1864">
          <cell r="D1864">
            <v>203988</v>
          </cell>
        </row>
        <row r="1865">
          <cell r="D1865">
            <v>203988</v>
          </cell>
        </row>
        <row r="1866">
          <cell r="D1866">
            <v>203988</v>
          </cell>
        </row>
        <row r="1867">
          <cell r="D1867">
            <v>203989</v>
          </cell>
        </row>
        <row r="1868">
          <cell r="D1868">
            <v>203990</v>
          </cell>
        </row>
        <row r="1869">
          <cell r="D1869">
            <v>203990</v>
          </cell>
        </row>
        <row r="1870">
          <cell r="D1870">
            <v>203990</v>
          </cell>
        </row>
        <row r="1871">
          <cell r="D1871">
            <v>203991</v>
          </cell>
        </row>
        <row r="1872">
          <cell r="D1872">
            <v>203991</v>
          </cell>
        </row>
        <row r="1873">
          <cell r="D1873">
            <v>203991</v>
          </cell>
        </row>
        <row r="1874">
          <cell r="D1874">
            <v>203991</v>
          </cell>
        </row>
        <row r="1875">
          <cell r="D1875">
            <v>203991</v>
          </cell>
        </row>
        <row r="1876">
          <cell r="D1876">
            <v>203991</v>
          </cell>
        </row>
        <row r="1877">
          <cell r="D1877">
            <v>203991</v>
          </cell>
        </row>
        <row r="1878">
          <cell r="D1878">
            <v>203992</v>
          </cell>
        </row>
        <row r="1879">
          <cell r="D1879">
            <v>203992</v>
          </cell>
        </row>
        <row r="1880">
          <cell r="D1880">
            <v>203992</v>
          </cell>
        </row>
        <row r="1881">
          <cell r="D1881">
            <v>203992</v>
          </cell>
        </row>
        <row r="1882">
          <cell r="D1882">
            <v>203992</v>
          </cell>
        </row>
        <row r="1883">
          <cell r="D1883">
            <v>203992</v>
          </cell>
        </row>
        <row r="1884">
          <cell r="D1884">
            <v>203992</v>
          </cell>
        </row>
        <row r="1885">
          <cell r="D1885">
            <v>203992</v>
          </cell>
        </row>
        <row r="1886">
          <cell r="D1886">
            <v>203992</v>
          </cell>
        </row>
        <row r="1887">
          <cell r="D1887">
            <v>203993</v>
          </cell>
        </row>
        <row r="1888">
          <cell r="D1888">
            <v>203993</v>
          </cell>
        </row>
        <row r="1889">
          <cell r="D1889">
            <v>203993</v>
          </cell>
        </row>
        <row r="1890">
          <cell r="D1890">
            <v>203993</v>
          </cell>
        </row>
        <row r="1891">
          <cell r="D1891">
            <v>203994</v>
          </cell>
        </row>
        <row r="1892">
          <cell r="D1892">
            <v>203994</v>
          </cell>
        </row>
        <row r="1893">
          <cell r="D1893">
            <v>203994</v>
          </cell>
        </row>
        <row r="1894">
          <cell r="D1894">
            <v>203994</v>
          </cell>
        </row>
        <row r="1895">
          <cell r="D1895">
            <v>203994</v>
          </cell>
        </row>
        <row r="1896">
          <cell r="D1896">
            <v>203994</v>
          </cell>
        </row>
        <row r="1897">
          <cell r="D1897">
            <v>203994</v>
          </cell>
        </row>
        <row r="1898">
          <cell r="D1898">
            <v>203994</v>
          </cell>
        </row>
        <row r="1899">
          <cell r="D1899">
            <v>203994</v>
          </cell>
        </row>
        <row r="1900">
          <cell r="D1900">
            <v>203994</v>
          </cell>
        </row>
        <row r="1901">
          <cell r="D1901">
            <v>203994</v>
          </cell>
        </row>
        <row r="1902">
          <cell r="D1902">
            <v>203994</v>
          </cell>
        </row>
        <row r="1903">
          <cell r="D1903">
            <v>203994</v>
          </cell>
        </row>
        <row r="1904">
          <cell r="D1904">
            <v>203994</v>
          </cell>
        </row>
        <row r="1905">
          <cell r="D1905">
            <v>203994</v>
          </cell>
        </row>
        <row r="1906">
          <cell r="D1906">
            <v>203994</v>
          </cell>
        </row>
        <row r="1907">
          <cell r="D1907">
            <v>203994</v>
          </cell>
        </row>
        <row r="1908">
          <cell r="D1908">
            <v>203994</v>
          </cell>
        </row>
        <row r="1909">
          <cell r="D1909">
            <v>203994</v>
          </cell>
        </row>
        <row r="1910">
          <cell r="D1910">
            <v>203994</v>
          </cell>
        </row>
        <row r="1911">
          <cell r="D1911">
            <v>203994</v>
          </cell>
        </row>
        <row r="1912">
          <cell r="D1912">
            <v>203994</v>
          </cell>
        </row>
        <row r="1913">
          <cell r="D1913">
            <v>203994</v>
          </cell>
        </row>
        <row r="1914">
          <cell r="D1914">
            <v>203994</v>
          </cell>
        </row>
        <row r="1915">
          <cell r="D1915">
            <v>203994</v>
          </cell>
        </row>
        <row r="1916">
          <cell r="D1916">
            <v>203994</v>
          </cell>
        </row>
        <row r="1917">
          <cell r="D1917">
            <v>203994</v>
          </cell>
        </row>
        <row r="1918">
          <cell r="D1918">
            <v>203994</v>
          </cell>
        </row>
        <row r="1919">
          <cell r="D1919">
            <v>203994</v>
          </cell>
        </row>
        <row r="1920">
          <cell r="D1920">
            <v>203994</v>
          </cell>
        </row>
        <row r="1921">
          <cell r="D1921">
            <v>203994</v>
          </cell>
        </row>
        <row r="1922">
          <cell r="D1922">
            <v>203994</v>
          </cell>
        </row>
        <row r="1923">
          <cell r="D1923">
            <v>203994</v>
          </cell>
        </row>
        <row r="1924">
          <cell r="D1924">
            <v>203994</v>
          </cell>
        </row>
        <row r="1925">
          <cell r="D1925">
            <v>203994</v>
          </cell>
        </row>
        <row r="1926">
          <cell r="D1926">
            <v>203994</v>
          </cell>
        </row>
        <row r="1927">
          <cell r="D1927">
            <v>203994</v>
          </cell>
        </row>
        <row r="1928">
          <cell r="D1928">
            <v>203994</v>
          </cell>
        </row>
        <row r="1929">
          <cell r="D1929">
            <v>203994</v>
          </cell>
        </row>
        <row r="1930">
          <cell r="D1930">
            <v>203994</v>
          </cell>
        </row>
        <row r="1931">
          <cell r="D1931">
            <v>203994</v>
          </cell>
        </row>
        <row r="1932">
          <cell r="D1932">
            <v>203994</v>
          </cell>
        </row>
        <row r="1933">
          <cell r="D1933">
            <v>203994</v>
          </cell>
        </row>
        <row r="1934">
          <cell r="D1934">
            <v>203994</v>
          </cell>
        </row>
        <row r="1935">
          <cell r="D1935">
            <v>203994</v>
          </cell>
        </row>
        <row r="1936">
          <cell r="D1936">
            <v>203994</v>
          </cell>
        </row>
        <row r="1937">
          <cell r="D1937">
            <v>203994</v>
          </cell>
        </row>
        <row r="1938">
          <cell r="D1938">
            <v>203994</v>
          </cell>
        </row>
        <row r="1939">
          <cell r="D1939">
            <v>203994</v>
          </cell>
        </row>
        <row r="1940">
          <cell r="D1940">
            <v>203994</v>
          </cell>
        </row>
        <row r="1941">
          <cell r="D1941">
            <v>203994</v>
          </cell>
        </row>
        <row r="1942">
          <cell r="D1942">
            <v>203994</v>
          </cell>
        </row>
        <row r="1943">
          <cell r="D1943">
            <v>203994</v>
          </cell>
        </row>
        <row r="1944">
          <cell r="D1944">
            <v>203994</v>
          </cell>
        </row>
        <row r="1945">
          <cell r="D1945">
            <v>203994</v>
          </cell>
        </row>
        <row r="1946">
          <cell r="D1946">
            <v>203994</v>
          </cell>
        </row>
        <row r="1947">
          <cell r="D1947">
            <v>203994</v>
          </cell>
        </row>
        <row r="1948">
          <cell r="D1948">
            <v>203994</v>
          </cell>
        </row>
        <row r="1949">
          <cell r="D1949">
            <v>203994</v>
          </cell>
        </row>
        <row r="1950">
          <cell r="D1950">
            <v>203994</v>
          </cell>
        </row>
        <row r="1951">
          <cell r="D1951">
            <v>203995</v>
          </cell>
        </row>
        <row r="1952">
          <cell r="D1952">
            <v>203995</v>
          </cell>
        </row>
        <row r="1953">
          <cell r="D1953">
            <v>203995</v>
          </cell>
        </row>
        <row r="1954">
          <cell r="D1954">
            <v>203995</v>
          </cell>
        </row>
        <row r="1955">
          <cell r="D1955">
            <v>203995</v>
          </cell>
        </row>
        <row r="1956">
          <cell r="D1956">
            <v>203995</v>
          </cell>
        </row>
        <row r="1957">
          <cell r="D1957">
            <v>203995</v>
          </cell>
        </row>
        <row r="1958">
          <cell r="D1958">
            <v>203995</v>
          </cell>
        </row>
        <row r="1959">
          <cell r="D1959">
            <v>203995</v>
          </cell>
        </row>
        <row r="1960">
          <cell r="D1960">
            <v>203996</v>
          </cell>
        </row>
        <row r="1961">
          <cell r="D1961">
            <v>203996</v>
          </cell>
        </row>
        <row r="1962">
          <cell r="D1962">
            <v>203996</v>
          </cell>
        </row>
        <row r="1963">
          <cell r="D1963">
            <v>203997</v>
          </cell>
        </row>
        <row r="1964">
          <cell r="D1964">
            <v>203997</v>
          </cell>
        </row>
        <row r="1965">
          <cell r="D1965">
            <v>203997</v>
          </cell>
        </row>
        <row r="1966">
          <cell r="D1966">
            <v>203997</v>
          </cell>
        </row>
        <row r="1967">
          <cell r="D1967">
            <v>203997</v>
          </cell>
        </row>
        <row r="1968">
          <cell r="D1968">
            <v>203997</v>
          </cell>
        </row>
        <row r="1969">
          <cell r="D1969">
            <v>203997</v>
          </cell>
        </row>
        <row r="1970">
          <cell r="D1970">
            <v>203997</v>
          </cell>
        </row>
        <row r="1971">
          <cell r="D1971">
            <v>203997</v>
          </cell>
        </row>
        <row r="1972">
          <cell r="D1972">
            <v>203997</v>
          </cell>
        </row>
        <row r="1973">
          <cell r="D1973">
            <v>203997</v>
          </cell>
        </row>
        <row r="1974">
          <cell r="D1974">
            <v>203997</v>
          </cell>
        </row>
        <row r="1975">
          <cell r="D1975">
            <v>203997</v>
          </cell>
        </row>
        <row r="1976">
          <cell r="D1976">
            <v>203997</v>
          </cell>
        </row>
        <row r="1977">
          <cell r="D1977">
            <v>203997</v>
          </cell>
        </row>
        <row r="1978">
          <cell r="D1978">
            <v>203997</v>
          </cell>
        </row>
        <row r="1979">
          <cell r="D1979">
            <v>203997</v>
          </cell>
        </row>
        <row r="1980">
          <cell r="D1980">
            <v>203997</v>
          </cell>
        </row>
        <row r="1981">
          <cell r="D1981">
            <v>203997</v>
          </cell>
        </row>
        <row r="1982">
          <cell r="D1982">
            <v>203997</v>
          </cell>
        </row>
        <row r="1983">
          <cell r="D1983">
            <v>203997</v>
          </cell>
        </row>
        <row r="1984">
          <cell r="D1984">
            <v>203997</v>
          </cell>
        </row>
        <row r="1985">
          <cell r="D1985">
            <v>203997</v>
          </cell>
        </row>
        <row r="1986">
          <cell r="D1986">
            <v>203997</v>
          </cell>
        </row>
        <row r="1987">
          <cell r="D1987">
            <v>203998</v>
          </cell>
        </row>
        <row r="1988">
          <cell r="D1988">
            <v>203998</v>
          </cell>
        </row>
        <row r="1989">
          <cell r="D1989">
            <v>203999</v>
          </cell>
        </row>
        <row r="1990">
          <cell r="D1990">
            <v>203999</v>
          </cell>
        </row>
        <row r="1991">
          <cell r="D1991">
            <v>203999</v>
          </cell>
        </row>
        <row r="1992">
          <cell r="D1992">
            <v>203999</v>
          </cell>
        </row>
        <row r="1993">
          <cell r="D1993">
            <v>203999</v>
          </cell>
        </row>
        <row r="1994">
          <cell r="D1994">
            <v>203999</v>
          </cell>
        </row>
        <row r="1995">
          <cell r="D1995">
            <v>203999</v>
          </cell>
        </row>
        <row r="1996">
          <cell r="D1996">
            <v>203999</v>
          </cell>
        </row>
        <row r="1997">
          <cell r="D1997">
            <v>203999</v>
          </cell>
        </row>
        <row r="1998">
          <cell r="D1998">
            <v>203999</v>
          </cell>
        </row>
        <row r="1999">
          <cell r="D1999">
            <v>203999</v>
          </cell>
        </row>
        <row r="2000">
          <cell r="D2000">
            <v>204000</v>
          </cell>
        </row>
        <row r="2001">
          <cell r="D2001">
            <v>204000</v>
          </cell>
        </row>
        <row r="2002">
          <cell r="D2002">
            <v>204000</v>
          </cell>
        </row>
        <row r="2003">
          <cell r="D2003">
            <v>204000</v>
          </cell>
        </row>
        <row r="2004">
          <cell r="D2004">
            <v>204000</v>
          </cell>
        </row>
        <row r="2005">
          <cell r="D2005">
            <v>204000</v>
          </cell>
        </row>
        <row r="2006">
          <cell r="D2006">
            <v>204000</v>
          </cell>
        </row>
        <row r="2007">
          <cell r="D2007">
            <v>204000</v>
          </cell>
        </row>
        <row r="2008">
          <cell r="D2008">
            <v>204000</v>
          </cell>
        </row>
        <row r="2009">
          <cell r="D2009">
            <v>204000</v>
          </cell>
        </row>
        <row r="2010">
          <cell r="D2010">
            <v>204000</v>
          </cell>
        </row>
        <row r="2011">
          <cell r="D2011">
            <v>204000</v>
          </cell>
        </row>
        <row r="2012">
          <cell r="D2012">
            <v>204000</v>
          </cell>
        </row>
        <row r="2013">
          <cell r="D2013">
            <v>204000</v>
          </cell>
        </row>
        <row r="2014">
          <cell r="D2014">
            <v>204000</v>
          </cell>
        </row>
        <row r="2015">
          <cell r="D2015">
            <v>204000</v>
          </cell>
        </row>
        <row r="2016">
          <cell r="D2016">
            <v>204000</v>
          </cell>
        </row>
        <row r="2017">
          <cell r="D2017">
            <v>204000</v>
          </cell>
        </row>
        <row r="2018">
          <cell r="D2018">
            <v>204000</v>
          </cell>
        </row>
        <row r="2019">
          <cell r="D2019">
            <v>204000</v>
          </cell>
        </row>
        <row r="2020">
          <cell r="D2020">
            <v>204000</v>
          </cell>
        </row>
        <row r="2021">
          <cell r="D2021">
            <v>204000</v>
          </cell>
        </row>
        <row r="2022">
          <cell r="D2022">
            <v>204000</v>
          </cell>
        </row>
        <row r="2023">
          <cell r="D2023">
            <v>204000</v>
          </cell>
        </row>
        <row r="2024">
          <cell r="D2024">
            <v>204000</v>
          </cell>
        </row>
        <row r="2025">
          <cell r="D2025">
            <v>204000</v>
          </cell>
        </row>
        <row r="2026">
          <cell r="D2026">
            <v>204000</v>
          </cell>
        </row>
        <row r="2027">
          <cell r="D2027">
            <v>204000</v>
          </cell>
        </row>
        <row r="2028">
          <cell r="D2028">
            <v>204000</v>
          </cell>
        </row>
        <row r="2029">
          <cell r="D2029">
            <v>204000</v>
          </cell>
        </row>
        <row r="2030">
          <cell r="D2030">
            <v>204000</v>
          </cell>
        </row>
        <row r="2031">
          <cell r="D2031">
            <v>204000</v>
          </cell>
        </row>
        <row r="2032">
          <cell r="D2032">
            <v>204000</v>
          </cell>
        </row>
        <row r="2033">
          <cell r="D2033">
            <v>204000</v>
          </cell>
        </row>
        <row r="2034">
          <cell r="D2034">
            <v>204000</v>
          </cell>
        </row>
        <row r="2035">
          <cell r="D2035">
            <v>204000</v>
          </cell>
        </row>
        <row r="2036">
          <cell r="D2036">
            <v>204000</v>
          </cell>
        </row>
        <row r="2037">
          <cell r="D2037">
            <v>204000</v>
          </cell>
        </row>
        <row r="2038">
          <cell r="D2038">
            <v>204000</v>
          </cell>
        </row>
        <row r="2039">
          <cell r="D2039">
            <v>204000</v>
          </cell>
        </row>
        <row r="2040">
          <cell r="D2040">
            <v>204000</v>
          </cell>
        </row>
        <row r="2041">
          <cell r="D2041">
            <v>204000</v>
          </cell>
        </row>
        <row r="2042">
          <cell r="D2042">
            <v>204000</v>
          </cell>
        </row>
        <row r="2043">
          <cell r="D2043">
            <v>204000</v>
          </cell>
        </row>
        <row r="2044">
          <cell r="D2044">
            <v>204000</v>
          </cell>
        </row>
        <row r="2045">
          <cell r="D2045">
            <v>204000</v>
          </cell>
        </row>
        <row r="2046">
          <cell r="D2046">
            <v>204000</v>
          </cell>
        </row>
        <row r="2047">
          <cell r="D2047">
            <v>204000</v>
          </cell>
        </row>
        <row r="2048">
          <cell r="D2048">
            <v>204000</v>
          </cell>
        </row>
        <row r="2049">
          <cell r="D2049">
            <v>204000</v>
          </cell>
        </row>
        <row r="2050">
          <cell r="D2050">
            <v>204000</v>
          </cell>
        </row>
        <row r="2051">
          <cell r="D2051">
            <v>204000</v>
          </cell>
        </row>
        <row r="2052">
          <cell r="D2052">
            <v>204000</v>
          </cell>
        </row>
        <row r="2053">
          <cell r="D2053">
            <v>204000</v>
          </cell>
        </row>
        <row r="2054">
          <cell r="D2054">
            <v>204000</v>
          </cell>
        </row>
        <row r="2055">
          <cell r="D2055">
            <v>204000</v>
          </cell>
        </row>
        <row r="2056">
          <cell r="D2056">
            <v>204000</v>
          </cell>
        </row>
        <row r="2057">
          <cell r="D2057">
            <v>204000</v>
          </cell>
        </row>
        <row r="2058">
          <cell r="D2058">
            <v>204000</v>
          </cell>
        </row>
        <row r="2059">
          <cell r="D2059">
            <v>204000</v>
          </cell>
        </row>
        <row r="2060">
          <cell r="D2060">
            <v>204000</v>
          </cell>
        </row>
        <row r="2061">
          <cell r="D2061">
            <v>204000</v>
          </cell>
        </row>
        <row r="2062">
          <cell r="D2062">
            <v>204000</v>
          </cell>
        </row>
        <row r="2063">
          <cell r="D2063">
            <v>204000</v>
          </cell>
        </row>
        <row r="2064">
          <cell r="D2064">
            <v>204000</v>
          </cell>
        </row>
        <row r="2065">
          <cell r="D2065">
            <v>204000</v>
          </cell>
        </row>
        <row r="2066">
          <cell r="D2066">
            <v>204000</v>
          </cell>
        </row>
        <row r="2067">
          <cell r="D2067">
            <v>204000</v>
          </cell>
        </row>
        <row r="2068">
          <cell r="D2068">
            <v>204000</v>
          </cell>
        </row>
        <row r="2069">
          <cell r="D2069">
            <v>204000</v>
          </cell>
        </row>
        <row r="2070">
          <cell r="D2070">
            <v>204000</v>
          </cell>
        </row>
        <row r="2071">
          <cell r="D2071">
            <v>204000</v>
          </cell>
        </row>
        <row r="2072">
          <cell r="D2072">
            <v>204000</v>
          </cell>
        </row>
        <row r="2073">
          <cell r="D2073">
            <v>204000</v>
          </cell>
        </row>
        <row r="2074">
          <cell r="D2074">
            <v>204000</v>
          </cell>
        </row>
        <row r="2075">
          <cell r="D2075">
            <v>204000</v>
          </cell>
        </row>
        <row r="2076">
          <cell r="D2076">
            <v>204000</v>
          </cell>
        </row>
        <row r="2077">
          <cell r="D2077">
            <v>204000</v>
          </cell>
        </row>
        <row r="2078">
          <cell r="D2078">
            <v>204000</v>
          </cell>
        </row>
        <row r="2079">
          <cell r="D2079">
            <v>204000</v>
          </cell>
        </row>
        <row r="2080">
          <cell r="D2080">
            <v>204000</v>
          </cell>
        </row>
        <row r="2081">
          <cell r="D2081">
            <v>204000</v>
          </cell>
        </row>
        <row r="2082">
          <cell r="D2082">
            <v>204000</v>
          </cell>
        </row>
        <row r="2083">
          <cell r="D2083">
            <v>204000</v>
          </cell>
        </row>
        <row r="2084">
          <cell r="D2084">
            <v>204000</v>
          </cell>
        </row>
        <row r="2085">
          <cell r="D2085">
            <v>204000</v>
          </cell>
        </row>
        <row r="2086">
          <cell r="D2086">
            <v>204000</v>
          </cell>
        </row>
        <row r="2087">
          <cell r="D2087">
            <v>204000</v>
          </cell>
        </row>
        <row r="2088">
          <cell r="D2088">
            <v>204000</v>
          </cell>
        </row>
        <row r="2089">
          <cell r="D2089">
            <v>204000</v>
          </cell>
        </row>
        <row r="2090">
          <cell r="D2090">
            <v>204000</v>
          </cell>
        </row>
        <row r="2091">
          <cell r="D2091">
            <v>204000</v>
          </cell>
        </row>
        <row r="2092">
          <cell r="D2092">
            <v>204000</v>
          </cell>
        </row>
        <row r="2093">
          <cell r="D2093">
            <v>204000</v>
          </cell>
        </row>
        <row r="2094">
          <cell r="D2094">
            <v>204000</v>
          </cell>
        </row>
        <row r="2095">
          <cell r="D2095">
            <v>204001</v>
          </cell>
        </row>
        <row r="2096">
          <cell r="D2096">
            <v>204001</v>
          </cell>
        </row>
        <row r="2097">
          <cell r="D2097">
            <v>204001</v>
          </cell>
        </row>
        <row r="2098">
          <cell r="D2098">
            <v>204001</v>
          </cell>
        </row>
        <row r="2099">
          <cell r="D2099">
            <v>204001</v>
          </cell>
        </row>
        <row r="2100">
          <cell r="D2100">
            <v>204001</v>
          </cell>
        </row>
        <row r="2101">
          <cell r="D2101">
            <v>204001</v>
          </cell>
        </row>
        <row r="2102">
          <cell r="D2102">
            <v>204001</v>
          </cell>
        </row>
        <row r="2103">
          <cell r="D2103">
            <v>204002</v>
          </cell>
        </row>
        <row r="2104">
          <cell r="D2104">
            <v>204002</v>
          </cell>
        </row>
        <row r="2105">
          <cell r="D2105">
            <v>204003</v>
          </cell>
        </row>
        <row r="2106">
          <cell r="D2106">
            <v>204003</v>
          </cell>
        </row>
        <row r="2107">
          <cell r="D2107">
            <v>204003</v>
          </cell>
        </row>
        <row r="2108">
          <cell r="D2108">
            <v>204003</v>
          </cell>
        </row>
        <row r="2109">
          <cell r="D2109">
            <v>204003</v>
          </cell>
        </row>
        <row r="2110">
          <cell r="D2110">
            <v>204003</v>
          </cell>
        </row>
        <row r="2111">
          <cell r="D2111">
            <v>204003</v>
          </cell>
        </row>
        <row r="2112">
          <cell r="D2112">
            <v>204003</v>
          </cell>
        </row>
        <row r="2113">
          <cell r="D2113">
            <v>204003</v>
          </cell>
        </row>
        <row r="2114">
          <cell r="D2114">
            <v>204003</v>
          </cell>
        </row>
        <row r="2115">
          <cell r="D2115">
            <v>204003</v>
          </cell>
        </row>
        <row r="2116">
          <cell r="D2116">
            <v>204003</v>
          </cell>
        </row>
        <row r="2117">
          <cell r="D2117">
            <v>204003</v>
          </cell>
        </row>
        <row r="2118">
          <cell r="D2118">
            <v>204003</v>
          </cell>
        </row>
        <row r="2119">
          <cell r="D2119">
            <v>204003</v>
          </cell>
        </row>
        <row r="2120">
          <cell r="D2120">
            <v>204003</v>
          </cell>
        </row>
        <row r="2121">
          <cell r="D2121">
            <v>204003</v>
          </cell>
        </row>
        <row r="2122">
          <cell r="D2122">
            <v>204003</v>
          </cell>
        </row>
        <row r="2123">
          <cell r="D2123">
            <v>204003</v>
          </cell>
        </row>
        <row r="2124">
          <cell r="D2124">
            <v>204003</v>
          </cell>
        </row>
        <row r="2125">
          <cell r="D2125">
            <v>204003</v>
          </cell>
        </row>
        <row r="2126">
          <cell r="D2126">
            <v>204003</v>
          </cell>
        </row>
        <row r="2127">
          <cell r="D2127">
            <v>204003</v>
          </cell>
        </row>
        <row r="2128">
          <cell r="D2128">
            <v>204003</v>
          </cell>
        </row>
        <row r="2129">
          <cell r="D2129">
            <v>204003</v>
          </cell>
        </row>
        <row r="2130">
          <cell r="D2130">
            <v>204003</v>
          </cell>
        </row>
        <row r="2131">
          <cell r="D2131">
            <v>204003</v>
          </cell>
        </row>
        <row r="2132">
          <cell r="D2132">
            <v>204003</v>
          </cell>
        </row>
        <row r="2133">
          <cell r="D2133">
            <v>204003</v>
          </cell>
        </row>
        <row r="2134">
          <cell r="D2134">
            <v>204003</v>
          </cell>
        </row>
        <row r="2135">
          <cell r="D2135">
            <v>204003</v>
          </cell>
        </row>
        <row r="2136">
          <cell r="D2136">
            <v>204003</v>
          </cell>
        </row>
        <row r="2137">
          <cell r="D2137">
            <v>204003</v>
          </cell>
        </row>
        <row r="2138">
          <cell r="D2138">
            <v>204003</v>
          </cell>
        </row>
        <row r="2139">
          <cell r="D2139">
            <v>204003</v>
          </cell>
        </row>
        <row r="2140">
          <cell r="D2140">
            <v>204003</v>
          </cell>
        </row>
        <row r="2141">
          <cell r="D2141">
            <v>204003</v>
          </cell>
        </row>
        <row r="2142">
          <cell r="D2142">
            <v>204003</v>
          </cell>
        </row>
        <row r="2143">
          <cell r="D2143">
            <v>204003</v>
          </cell>
        </row>
        <row r="2144">
          <cell r="D2144">
            <v>204003</v>
          </cell>
        </row>
        <row r="2145">
          <cell r="D2145">
            <v>204003</v>
          </cell>
        </row>
        <row r="2146">
          <cell r="D2146">
            <v>204003</v>
          </cell>
        </row>
        <row r="2147">
          <cell r="D2147">
            <v>204003</v>
          </cell>
        </row>
        <row r="2148">
          <cell r="D2148">
            <v>204003</v>
          </cell>
        </row>
        <row r="2149">
          <cell r="D2149">
            <v>204003</v>
          </cell>
        </row>
        <row r="2150">
          <cell r="D2150">
            <v>204003</v>
          </cell>
        </row>
        <row r="2151">
          <cell r="D2151">
            <v>204003</v>
          </cell>
        </row>
        <row r="2152">
          <cell r="D2152">
            <v>204003</v>
          </cell>
        </row>
        <row r="2153">
          <cell r="D2153">
            <v>204003</v>
          </cell>
        </row>
        <row r="2154">
          <cell r="D2154">
            <v>204003</v>
          </cell>
        </row>
        <row r="2155">
          <cell r="D2155">
            <v>204003</v>
          </cell>
        </row>
        <row r="2156">
          <cell r="D2156">
            <v>204003</v>
          </cell>
        </row>
        <row r="2157">
          <cell r="D2157">
            <v>204003</v>
          </cell>
        </row>
        <row r="2158">
          <cell r="D2158">
            <v>204003</v>
          </cell>
        </row>
        <row r="2159">
          <cell r="D2159">
            <v>204003</v>
          </cell>
        </row>
        <row r="2160">
          <cell r="D2160">
            <v>204004</v>
          </cell>
        </row>
        <row r="2161">
          <cell r="D2161">
            <v>204004</v>
          </cell>
        </row>
        <row r="2162">
          <cell r="D2162">
            <v>204004</v>
          </cell>
        </row>
        <row r="2163">
          <cell r="D2163">
            <v>204004</v>
          </cell>
        </row>
        <row r="2164">
          <cell r="D2164">
            <v>204005</v>
          </cell>
        </row>
        <row r="2165">
          <cell r="D2165">
            <v>204005</v>
          </cell>
        </row>
        <row r="2166">
          <cell r="D2166">
            <v>204005</v>
          </cell>
        </row>
        <row r="2167">
          <cell r="D2167">
            <v>204005</v>
          </cell>
        </row>
        <row r="2168">
          <cell r="D2168">
            <v>204005</v>
          </cell>
        </row>
        <row r="2169">
          <cell r="D2169">
            <v>204005</v>
          </cell>
        </row>
        <row r="2170">
          <cell r="D2170">
            <v>204005</v>
          </cell>
        </row>
        <row r="2171">
          <cell r="D2171">
            <v>204005</v>
          </cell>
        </row>
        <row r="2172">
          <cell r="D2172">
            <v>204006</v>
          </cell>
        </row>
        <row r="2173">
          <cell r="D2173">
            <v>204006</v>
          </cell>
        </row>
        <row r="2174">
          <cell r="D2174">
            <v>204007</v>
          </cell>
        </row>
        <row r="2175">
          <cell r="D2175">
            <v>204007</v>
          </cell>
        </row>
        <row r="2176">
          <cell r="D2176">
            <v>204007</v>
          </cell>
        </row>
        <row r="2177">
          <cell r="D2177">
            <v>204007</v>
          </cell>
        </row>
        <row r="2178">
          <cell r="D2178">
            <v>204007</v>
          </cell>
        </row>
        <row r="2179">
          <cell r="D2179">
            <v>204007</v>
          </cell>
        </row>
        <row r="2180">
          <cell r="D2180">
            <v>204008</v>
          </cell>
        </row>
        <row r="2181">
          <cell r="D2181">
            <v>204008</v>
          </cell>
        </row>
        <row r="2182">
          <cell r="D2182">
            <v>204008</v>
          </cell>
        </row>
        <row r="2183">
          <cell r="D2183">
            <v>204008</v>
          </cell>
        </row>
        <row r="2184">
          <cell r="D2184">
            <v>204008</v>
          </cell>
        </row>
        <row r="2185">
          <cell r="D2185">
            <v>204008</v>
          </cell>
        </row>
        <row r="2186">
          <cell r="D2186">
            <v>204008</v>
          </cell>
        </row>
        <row r="2187">
          <cell r="D2187">
            <v>204008</v>
          </cell>
        </row>
        <row r="2188">
          <cell r="D2188">
            <v>204008</v>
          </cell>
        </row>
        <row r="2189">
          <cell r="D2189">
            <v>204008</v>
          </cell>
        </row>
        <row r="2190">
          <cell r="D2190">
            <v>204008</v>
          </cell>
        </row>
        <row r="2191">
          <cell r="D2191">
            <v>204009</v>
          </cell>
        </row>
        <row r="2192">
          <cell r="D2192">
            <v>204009</v>
          </cell>
        </row>
        <row r="2193">
          <cell r="D2193">
            <v>204009</v>
          </cell>
        </row>
        <row r="2194">
          <cell r="D2194">
            <v>204009</v>
          </cell>
        </row>
        <row r="2195">
          <cell r="D2195">
            <v>204010</v>
          </cell>
        </row>
        <row r="2196">
          <cell r="D2196">
            <v>204010</v>
          </cell>
        </row>
        <row r="2197">
          <cell r="D2197">
            <v>204011</v>
          </cell>
        </row>
        <row r="2198">
          <cell r="D2198">
            <v>204011</v>
          </cell>
        </row>
        <row r="2199">
          <cell r="D2199">
            <v>204012</v>
          </cell>
        </row>
        <row r="2200">
          <cell r="D2200">
            <v>204012</v>
          </cell>
        </row>
        <row r="2201">
          <cell r="D2201">
            <v>204012</v>
          </cell>
        </row>
        <row r="2202">
          <cell r="D2202">
            <v>204012</v>
          </cell>
        </row>
        <row r="2203">
          <cell r="D2203">
            <v>204012</v>
          </cell>
        </row>
        <row r="2204">
          <cell r="D2204">
            <v>204012</v>
          </cell>
        </row>
        <row r="2205">
          <cell r="D2205">
            <v>204012</v>
          </cell>
        </row>
        <row r="2206">
          <cell r="D2206">
            <v>204012</v>
          </cell>
        </row>
        <row r="2207">
          <cell r="D2207">
            <v>204012</v>
          </cell>
        </row>
        <row r="2208">
          <cell r="D2208">
            <v>204012</v>
          </cell>
        </row>
        <row r="2209">
          <cell r="D2209">
            <v>204012</v>
          </cell>
        </row>
        <row r="2210">
          <cell r="D2210">
            <v>204012</v>
          </cell>
        </row>
        <row r="2211">
          <cell r="D2211">
            <v>204012</v>
          </cell>
        </row>
        <row r="2212">
          <cell r="D2212">
            <v>204012</v>
          </cell>
        </row>
        <row r="2213">
          <cell r="D2213">
            <v>204012</v>
          </cell>
        </row>
        <row r="2214">
          <cell r="D2214">
            <v>204013</v>
          </cell>
        </row>
        <row r="2215">
          <cell r="D2215">
            <v>204013</v>
          </cell>
        </row>
        <row r="2216">
          <cell r="D2216">
            <v>204013</v>
          </cell>
        </row>
        <row r="2217">
          <cell r="D2217">
            <v>204013</v>
          </cell>
        </row>
        <row r="2218">
          <cell r="D2218">
            <v>204013</v>
          </cell>
        </row>
        <row r="2219">
          <cell r="D2219">
            <v>204013</v>
          </cell>
        </row>
        <row r="2220">
          <cell r="D2220">
            <v>204013</v>
          </cell>
        </row>
        <row r="2221">
          <cell r="D2221">
            <v>204013</v>
          </cell>
        </row>
        <row r="2222">
          <cell r="D2222">
            <v>204013</v>
          </cell>
        </row>
        <row r="2223">
          <cell r="D2223">
            <v>204014</v>
          </cell>
        </row>
        <row r="2224">
          <cell r="D2224">
            <v>204014</v>
          </cell>
        </row>
        <row r="2225">
          <cell r="D2225">
            <v>204014</v>
          </cell>
        </row>
        <row r="2226">
          <cell r="D2226">
            <v>204014</v>
          </cell>
        </row>
        <row r="2227">
          <cell r="D2227">
            <v>204014</v>
          </cell>
        </row>
        <row r="2228">
          <cell r="D2228">
            <v>204014</v>
          </cell>
        </row>
        <row r="2229">
          <cell r="D2229">
            <v>204014</v>
          </cell>
        </row>
        <row r="2230">
          <cell r="D2230">
            <v>204014</v>
          </cell>
        </row>
        <row r="2231">
          <cell r="D2231">
            <v>204014</v>
          </cell>
        </row>
        <row r="2232">
          <cell r="D2232">
            <v>204014</v>
          </cell>
        </row>
        <row r="2233">
          <cell r="D2233">
            <v>204014</v>
          </cell>
        </row>
        <row r="2234">
          <cell r="D2234">
            <v>204014</v>
          </cell>
        </row>
        <row r="2235">
          <cell r="D2235">
            <v>204014</v>
          </cell>
        </row>
        <row r="2236">
          <cell r="D2236">
            <v>204014</v>
          </cell>
        </row>
        <row r="2237">
          <cell r="D2237">
            <v>204014</v>
          </cell>
        </row>
        <row r="2238">
          <cell r="D2238">
            <v>204015</v>
          </cell>
        </row>
        <row r="2239">
          <cell r="D2239">
            <v>204016</v>
          </cell>
        </row>
        <row r="2240">
          <cell r="D2240">
            <v>204017</v>
          </cell>
        </row>
        <row r="2241">
          <cell r="D2241">
            <v>204017</v>
          </cell>
        </row>
        <row r="2242">
          <cell r="D2242">
            <v>204017</v>
          </cell>
        </row>
        <row r="2243">
          <cell r="D2243">
            <v>204017</v>
          </cell>
        </row>
        <row r="2244">
          <cell r="D2244">
            <v>204017</v>
          </cell>
        </row>
        <row r="2245">
          <cell r="D2245">
            <v>204018</v>
          </cell>
        </row>
        <row r="2246">
          <cell r="D2246">
            <v>204019</v>
          </cell>
        </row>
        <row r="2247">
          <cell r="D2247">
            <v>204019</v>
          </cell>
        </row>
        <row r="2248">
          <cell r="D2248">
            <v>204019</v>
          </cell>
        </row>
        <row r="2249">
          <cell r="D2249">
            <v>204019</v>
          </cell>
        </row>
        <row r="2250">
          <cell r="D2250">
            <v>204019</v>
          </cell>
        </row>
        <row r="2251">
          <cell r="D2251">
            <v>204019</v>
          </cell>
        </row>
        <row r="2252">
          <cell r="D2252">
            <v>204019</v>
          </cell>
        </row>
        <row r="2253">
          <cell r="D2253">
            <v>204019</v>
          </cell>
        </row>
        <row r="2254">
          <cell r="D2254">
            <v>204019</v>
          </cell>
        </row>
        <row r="2255">
          <cell r="D2255">
            <v>204019</v>
          </cell>
        </row>
        <row r="2256">
          <cell r="D2256">
            <v>204019</v>
          </cell>
        </row>
        <row r="2257">
          <cell r="D2257">
            <v>204019</v>
          </cell>
        </row>
        <row r="2258">
          <cell r="D2258">
            <v>204019</v>
          </cell>
        </row>
        <row r="2259">
          <cell r="D2259">
            <v>204019</v>
          </cell>
        </row>
        <row r="2260">
          <cell r="D2260">
            <v>204019</v>
          </cell>
        </row>
        <row r="2261">
          <cell r="D2261">
            <v>204019</v>
          </cell>
        </row>
        <row r="2262">
          <cell r="D2262">
            <v>204020</v>
          </cell>
        </row>
        <row r="2263">
          <cell r="D2263">
            <v>204020</v>
          </cell>
        </row>
        <row r="2264">
          <cell r="D2264">
            <v>204020</v>
          </cell>
        </row>
        <row r="2265">
          <cell r="D2265">
            <v>204020</v>
          </cell>
        </row>
        <row r="2266">
          <cell r="D2266">
            <v>204020</v>
          </cell>
        </row>
        <row r="2267">
          <cell r="D2267">
            <v>204020</v>
          </cell>
        </row>
        <row r="2268">
          <cell r="D2268">
            <v>204020</v>
          </cell>
        </row>
        <row r="2269">
          <cell r="D2269">
            <v>204020</v>
          </cell>
        </row>
        <row r="2270">
          <cell r="D2270">
            <v>204020</v>
          </cell>
        </row>
        <row r="2271">
          <cell r="D2271">
            <v>204020</v>
          </cell>
        </row>
        <row r="2272">
          <cell r="D2272">
            <v>204020</v>
          </cell>
        </row>
        <row r="2273">
          <cell r="D2273">
            <v>204020</v>
          </cell>
        </row>
        <row r="2274">
          <cell r="D2274">
            <v>204020</v>
          </cell>
        </row>
        <row r="2275">
          <cell r="D2275">
            <v>204020</v>
          </cell>
        </row>
        <row r="2276">
          <cell r="D2276">
            <v>204020</v>
          </cell>
        </row>
        <row r="2277">
          <cell r="D2277">
            <v>204020</v>
          </cell>
        </row>
        <row r="2278">
          <cell r="D2278">
            <v>204020</v>
          </cell>
        </row>
        <row r="2279">
          <cell r="D2279">
            <v>204020</v>
          </cell>
        </row>
        <row r="2280">
          <cell r="D2280">
            <v>204020</v>
          </cell>
        </row>
        <row r="2281">
          <cell r="D2281">
            <v>204020</v>
          </cell>
        </row>
        <row r="2282">
          <cell r="D2282">
            <v>204020</v>
          </cell>
        </row>
        <row r="2283">
          <cell r="D2283">
            <v>204020</v>
          </cell>
        </row>
        <row r="2284">
          <cell r="D2284">
            <v>204020</v>
          </cell>
        </row>
        <row r="2285">
          <cell r="D2285">
            <v>204020</v>
          </cell>
        </row>
        <row r="2286">
          <cell r="D2286">
            <v>204020</v>
          </cell>
        </row>
        <row r="2287">
          <cell r="D2287">
            <v>204020</v>
          </cell>
        </row>
        <row r="2288">
          <cell r="D2288">
            <v>204020</v>
          </cell>
        </row>
        <row r="2289">
          <cell r="D2289">
            <v>204020</v>
          </cell>
        </row>
        <row r="2290">
          <cell r="D2290">
            <v>204020</v>
          </cell>
        </row>
        <row r="2291">
          <cell r="D2291">
            <v>204020</v>
          </cell>
        </row>
        <row r="2292">
          <cell r="D2292">
            <v>204020</v>
          </cell>
        </row>
        <row r="2293">
          <cell r="D2293">
            <v>204020</v>
          </cell>
        </row>
        <row r="2294">
          <cell r="D2294">
            <v>204020</v>
          </cell>
        </row>
        <row r="2295">
          <cell r="D2295">
            <v>204020</v>
          </cell>
        </row>
        <row r="2296">
          <cell r="D2296">
            <v>204020</v>
          </cell>
        </row>
        <row r="2297">
          <cell r="D2297">
            <v>204020</v>
          </cell>
        </row>
        <row r="2298">
          <cell r="D2298">
            <v>204020</v>
          </cell>
        </row>
        <row r="2299">
          <cell r="D2299">
            <v>204020</v>
          </cell>
        </row>
        <row r="2300">
          <cell r="D2300">
            <v>204020</v>
          </cell>
        </row>
        <row r="2301">
          <cell r="D2301">
            <v>204020</v>
          </cell>
        </row>
        <row r="2302">
          <cell r="D2302">
            <v>204020</v>
          </cell>
        </row>
        <row r="2303">
          <cell r="D2303">
            <v>204020</v>
          </cell>
        </row>
        <row r="2304">
          <cell r="D2304">
            <v>204020</v>
          </cell>
        </row>
        <row r="2305">
          <cell r="D2305">
            <v>204020</v>
          </cell>
        </row>
        <row r="2306">
          <cell r="D2306">
            <v>204020</v>
          </cell>
        </row>
        <row r="2307">
          <cell r="D2307">
            <v>204020</v>
          </cell>
        </row>
        <row r="2308">
          <cell r="D2308">
            <v>204020</v>
          </cell>
        </row>
        <row r="2309">
          <cell r="D2309">
            <v>204020</v>
          </cell>
        </row>
        <row r="2310">
          <cell r="D2310">
            <v>204020</v>
          </cell>
        </row>
        <row r="2311">
          <cell r="D2311">
            <v>204020</v>
          </cell>
        </row>
        <row r="2312">
          <cell r="D2312">
            <v>204020</v>
          </cell>
        </row>
        <row r="2313">
          <cell r="D2313">
            <v>204020</v>
          </cell>
        </row>
        <row r="2314">
          <cell r="D2314">
            <v>204020</v>
          </cell>
        </row>
        <row r="2315">
          <cell r="D2315">
            <v>204020</v>
          </cell>
        </row>
        <row r="2316">
          <cell r="D2316">
            <v>204020</v>
          </cell>
        </row>
        <row r="2317">
          <cell r="D2317">
            <v>204020</v>
          </cell>
        </row>
        <row r="2318">
          <cell r="D2318">
            <v>204020</v>
          </cell>
        </row>
        <row r="2319">
          <cell r="D2319">
            <v>204020</v>
          </cell>
        </row>
        <row r="2320">
          <cell r="D2320">
            <v>204020</v>
          </cell>
        </row>
        <row r="2321">
          <cell r="D2321">
            <v>204020</v>
          </cell>
        </row>
        <row r="2322">
          <cell r="D2322">
            <v>204020</v>
          </cell>
        </row>
        <row r="2323">
          <cell r="D2323">
            <v>204020</v>
          </cell>
        </row>
        <row r="2324">
          <cell r="D2324">
            <v>204020</v>
          </cell>
        </row>
        <row r="2325">
          <cell r="D2325">
            <v>204020</v>
          </cell>
        </row>
        <row r="2326">
          <cell r="D2326">
            <v>204020</v>
          </cell>
        </row>
        <row r="2327">
          <cell r="D2327">
            <v>204020</v>
          </cell>
        </row>
        <row r="2328">
          <cell r="D2328">
            <v>204020</v>
          </cell>
        </row>
        <row r="2329">
          <cell r="D2329">
            <v>204020</v>
          </cell>
        </row>
        <row r="2330">
          <cell r="D2330">
            <v>204020</v>
          </cell>
        </row>
        <row r="2331">
          <cell r="D2331">
            <v>204020</v>
          </cell>
        </row>
        <row r="2332">
          <cell r="D2332">
            <v>204020</v>
          </cell>
        </row>
        <row r="2333">
          <cell r="D2333">
            <v>204020</v>
          </cell>
        </row>
        <row r="2334">
          <cell r="D2334">
            <v>204020</v>
          </cell>
        </row>
        <row r="2335">
          <cell r="D2335">
            <v>204020</v>
          </cell>
        </row>
        <row r="2336">
          <cell r="D2336">
            <v>204020</v>
          </cell>
        </row>
        <row r="2337">
          <cell r="D2337">
            <v>204020</v>
          </cell>
        </row>
        <row r="2338">
          <cell r="D2338">
            <v>204020</v>
          </cell>
        </row>
        <row r="2339">
          <cell r="D2339">
            <v>204020</v>
          </cell>
        </row>
        <row r="2340">
          <cell r="D2340">
            <v>204021</v>
          </cell>
        </row>
        <row r="2341">
          <cell r="D2341">
            <v>204021</v>
          </cell>
        </row>
        <row r="2342">
          <cell r="D2342">
            <v>204021</v>
          </cell>
        </row>
        <row r="2343">
          <cell r="D2343">
            <v>204021</v>
          </cell>
        </row>
        <row r="2344">
          <cell r="D2344">
            <v>204021</v>
          </cell>
        </row>
        <row r="2345">
          <cell r="D2345">
            <v>204021</v>
          </cell>
        </row>
        <row r="2346">
          <cell r="D2346">
            <v>204021</v>
          </cell>
        </row>
        <row r="2347">
          <cell r="D2347">
            <v>204021</v>
          </cell>
        </row>
        <row r="2348">
          <cell r="D2348">
            <v>204022</v>
          </cell>
        </row>
        <row r="2349">
          <cell r="D2349">
            <v>204022</v>
          </cell>
        </row>
        <row r="2350">
          <cell r="D2350">
            <v>204022</v>
          </cell>
        </row>
        <row r="2351">
          <cell r="D2351">
            <v>204022</v>
          </cell>
        </row>
        <row r="2352">
          <cell r="D2352">
            <v>204023</v>
          </cell>
        </row>
        <row r="2353">
          <cell r="D2353">
            <v>204023</v>
          </cell>
        </row>
        <row r="2354">
          <cell r="D2354">
            <v>204023</v>
          </cell>
        </row>
        <row r="2355">
          <cell r="D2355">
            <v>204023</v>
          </cell>
        </row>
        <row r="2356">
          <cell r="D2356">
            <v>204023</v>
          </cell>
        </row>
        <row r="2357">
          <cell r="D2357">
            <v>204023</v>
          </cell>
        </row>
        <row r="2358">
          <cell r="D2358">
            <v>204023</v>
          </cell>
        </row>
        <row r="2359">
          <cell r="D2359">
            <v>204023</v>
          </cell>
        </row>
        <row r="2360">
          <cell r="D2360">
            <v>204023</v>
          </cell>
        </row>
        <row r="2361">
          <cell r="D2361">
            <v>204023</v>
          </cell>
        </row>
        <row r="2362">
          <cell r="D2362">
            <v>204023</v>
          </cell>
        </row>
        <row r="2363">
          <cell r="D2363">
            <v>204023</v>
          </cell>
        </row>
        <row r="2364">
          <cell r="D2364">
            <v>204023</v>
          </cell>
        </row>
        <row r="2365">
          <cell r="D2365">
            <v>204023</v>
          </cell>
        </row>
        <row r="2366">
          <cell r="D2366">
            <v>204023</v>
          </cell>
        </row>
        <row r="2367">
          <cell r="D2367">
            <v>204023</v>
          </cell>
        </row>
        <row r="2368">
          <cell r="D2368">
            <v>204023</v>
          </cell>
        </row>
        <row r="2369">
          <cell r="D2369">
            <v>204023</v>
          </cell>
        </row>
        <row r="2370">
          <cell r="D2370">
            <v>204023</v>
          </cell>
        </row>
        <row r="2371">
          <cell r="D2371">
            <v>204023</v>
          </cell>
        </row>
        <row r="2372">
          <cell r="D2372">
            <v>204023</v>
          </cell>
        </row>
        <row r="2373">
          <cell r="D2373">
            <v>204023</v>
          </cell>
        </row>
        <row r="2374">
          <cell r="D2374">
            <v>204023</v>
          </cell>
        </row>
        <row r="2375">
          <cell r="D2375">
            <v>204023</v>
          </cell>
        </row>
        <row r="2376">
          <cell r="D2376">
            <v>204023</v>
          </cell>
        </row>
        <row r="2377">
          <cell r="D2377">
            <v>204023</v>
          </cell>
        </row>
        <row r="2378">
          <cell r="D2378">
            <v>204023</v>
          </cell>
        </row>
        <row r="2379">
          <cell r="D2379">
            <v>204023</v>
          </cell>
        </row>
        <row r="2380">
          <cell r="D2380">
            <v>204023</v>
          </cell>
        </row>
        <row r="2381">
          <cell r="D2381">
            <v>204023</v>
          </cell>
        </row>
        <row r="2382">
          <cell r="D2382">
            <v>204023</v>
          </cell>
        </row>
        <row r="2383">
          <cell r="D2383">
            <v>204023</v>
          </cell>
        </row>
        <row r="2384">
          <cell r="D2384">
            <v>204023</v>
          </cell>
        </row>
        <row r="2385">
          <cell r="D2385">
            <v>204023</v>
          </cell>
        </row>
        <row r="2386">
          <cell r="D2386">
            <v>204023</v>
          </cell>
        </row>
        <row r="2387">
          <cell r="D2387">
            <v>204023</v>
          </cell>
        </row>
        <row r="2388">
          <cell r="D2388">
            <v>204023</v>
          </cell>
        </row>
        <row r="2389">
          <cell r="D2389">
            <v>204023</v>
          </cell>
        </row>
        <row r="2390">
          <cell r="D2390">
            <v>204023</v>
          </cell>
        </row>
        <row r="2391">
          <cell r="D2391">
            <v>204023</v>
          </cell>
        </row>
        <row r="2392">
          <cell r="D2392">
            <v>204023</v>
          </cell>
        </row>
        <row r="2393">
          <cell r="D2393">
            <v>204023</v>
          </cell>
        </row>
        <row r="2394">
          <cell r="D2394">
            <v>204023</v>
          </cell>
        </row>
        <row r="2395">
          <cell r="D2395">
            <v>204023</v>
          </cell>
        </row>
        <row r="2396">
          <cell r="D2396">
            <v>204023</v>
          </cell>
        </row>
        <row r="2397">
          <cell r="D2397">
            <v>204023</v>
          </cell>
        </row>
        <row r="2398">
          <cell r="D2398">
            <v>204023</v>
          </cell>
        </row>
        <row r="2399">
          <cell r="D2399">
            <v>204023</v>
          </cell>
        </row>
        <row r="2400">
          <cell r="D2400">
            <v>204023</v>
          </cell>
        </row>
        <row r="2401">
          <cell r="D2401">
            <v>204023</v>
          </cell>
        </row>
        <row r="2402">
          <cell r="D2402">
            <v>204023</v>
          </cell>
        </row>
        <row r="2403">
          <cell r="D2403">
            <v>204023</v>
          </cell>
        </row>
        <row r="2404">
          <cell r="D2404">
            <v>204023</v>
          </cell>
        </row>
        <row r="2405">
          <cell r="D2405">
            <v>204023</v>
          </cell>
        </row>
        <row r="2406">
          <cell r="D2406">
            <v>204023</v>
          </cell>
        </row>
        <row r="2407">
          <cell r="D2407">
            <v>204023</v>
          </cell>
        </row>
        <row r="2408">
          <cell r="D2408">
            <v>204023</v>
          </cell>
        </row>
        <row r="2409">
          <cell r="D2409">
            <v>204023</v>
          </cell>
        </row>
        <row r="2410">
          <cell r="D2410">
            <v>204023</v>
          </cell>
        </row>
        <row r="2411">
          <cell r="D2411">
            <v>204023</v>
          </cell>
        </row>
        <row r="2412">
          <cell r="D2412">
            <v>204023</v>
          </cell>
        </row>
        <row r="2413">
          <cell r="D2413">
            <v>204023</v>
          </cell>
        </row>
        <row r="2414">
          <cell r="D2414">
            <v>204023</v>
          </cell>
        </row>
        <row r="2415">
          <cell r="D2415">
            <v>204023</v>
          </cell>
        </row>
        <row r="2416">
          <cell r="D2416">
            <v>204023</v>
          </cell>
        </row>
        <row r="2417">
          <cell r="D2417">
            <v>204023</v>
          </cell>
        </row>
        <row r="2418">
          <cell r="D2418">
            <v>204023</v>
          </cell>
        </row>
        <row r="2419">
          <cell r="D2419">
            <v>204023</v>
          </cell>
        </row>
        <row r="2420">
          <cell r="D2420">
            <v>204023</v>
          </cell>
        </row>
        <row r="2421">
          <cell r="D2421">
            <v>204023</v>
          </cell>
        </row>
        <row r="2422">
          <cell r="D2422">
            <v>204023</v>
          </cell>
        </row>
        <row r="2423">
          <cell r="D2423">
            <v>204023</v>
          </cell>
        </row>
        <row r="2424">
          <cell r="D2424">
            <v>204023</v>
          </cell>
        </row>
        <row r="2425">
          <cell r="D2425">
            <v>204023</v>
          </cell>
        </row>
        <row r="2426">
          <cell r="D2426">
            <v>204023</v>
          </cell>
        </row>
        <row r="2427">
          <cell r="D2427">
            <v>204023</v>
          </cell>
        </row>
        <row r="2428">
          <cell r="D2428">
            <v>204023</v>
          </cell>
        </row>
        <row r="2429">
          <cell r="D2429">
            <v>204023</v>
          </cell>
        </row>
        <row r="2430">
          <cell r="D2430">
            <v>204023</v>
          </cell>
        </row>
        <row r="2431">
          <cell r="D2431">
            <v>204023</v>
          </cell>
        </row>
        <row r="2432">
          <cell r="D2432">
            <v>204023</v>
          </cell>
        </row>
        <row r="2433">
          <cell r="D2433">
            <v>204023</v>
          </cell>
        </row>
        <row r="2434">
          <cell r="D2434">
            <v>204023</v>
          </cell>
        </row>
        <row r="2435">
          <cell r="D2435">
            <v>204023</v>
          </cell>
        </row>
        <row r="2436">
          <cell r="D2436">
            <v>204023</v>
          </cell>
        </row>
        <row r="2437">
          <cell r="D2437">
            <v>204023</v>
          </cell>
        </row>
        <row r="2438">
          <cell r="D2438">
            <v>204023</v>
          </cell>
        </row>
        <row r="2439">
          <cell r="D2439">
            <v>204023</v>
          </cell>
        </row>
        <row r="2440">
          <cell r="D2440">
            <v>204023</v>
          </cell>
        </row>
        <row r="2441">
          <cell r="D2441">
            <v>204023</v>
          </cell>
        </row>
        <row r="2442">
          <cell r="D2442">
            <v>204023</v>
          </cell>
        </row>
        <row r="2443">
          <cell r="D2443">
            <v>204023</v>
          </cell>
        </row>
        <row r="2444">
          <cell r="D2444">
            <v>204023</v>
          </cell>
        </row>
        <row r="2445">
          <cell r="D2445">
            <v>204023</v>
          </cell>
        </row>
        <row r="2446">
          <cell r="D2446">
            <v>204024</v>
          </cell>
        </row>
        <row r="2447">
          <cell r="D2447">
            <v>204024</v>
          </cell>
        </row>
        <row r="2448">
          <cell r="D2448">
            <v>204024</v>
          </cell>
        </row>
        <row r="2449">
          <cell r="D2449">
            <v>204024</v>
          </cell>
        </row>
        <row r="2450">
          <cell r="D2450">
            <v>204024</v>
          </cell>
        </row>
        <row r="2451">
          <cell r="D2451">
            <v>204024</v>
          </cell>
        </row>
        <row r="2452">
          <cell r="D2452">
            <v>204024</v>
          </cell>
        </row>
        <row r="2453">
          <cell r="D2453">
            <v>204024</v>
          </cell>
        </row>
        <row r="2454">
          <cell r="D2454">
            <v>204024</v>
          </cell>
        </row>
        <row r="2455">
          <cell r="D2455">
            <v>204024</v>
          </cell>
        </row>
        <row r="2456">
          <cell r="D2456">
            <v>204024</v>
          </cell>
        </row>
        <row r="2457">
          <cell r="D2457">
            <v>204024</v>
          </cell>
        </row>
        <row r="2458">
          <cell r="D2458">
            <v>204024</v>
          </cell>
        </row>
        <row r="2459">
          <cell r="D2459">
            <v>204024</v>
          </cell>
        </row>
        <row r="2460">
          <cell r="D2460">
            <v>204024</v>
          </cell>
        </row>
        <row r="2461">
          <cell r="D2461">
            <v>204024</v>
          </cell>
        </row>
        <row r="2462">
          <cell r="D2462">
            <v>204024</v>
          </cell>
        </row>
        <row r="2463">
          <cell r="D2463">
            <v>204024</v>
          </cell>
        </row>
        <row r="2464">
          <cell r="D2464">
            <v>204024</v>
          </cell>
        </row>
        <row r="2465">
          <cell r="D2465">
            <v>204024</v>
          </cell>
        </row>
        <row r="2466">
          <cell r="D2466">
            <v>204024</v>
          </cell>
        </row>
        <row r="2467">
          <cell r="D2467">
            <v>204024</v>
          </cell>
        </row>
        <row r="2468">
          <cell r="D2468">
            <v>204024</v>
          </cell>
        </row>
        <row r="2469">
          <cell r="D2469">
            <v>204024</v>
          </cell>
        </row>
        <row r="2470">
          <cell r="D2470">
            <v>204024</v>
          </cell>
        </row>
        <row r="2471">
          <cell r="D2471">
            <v>204024</v>
          </cell>
        </row>
        <row r="2472">
          <cell r="D2472">
            <v>204024</v>
          </cell>
        </row>
        <row r="2473">
          <cell r="D2473">
            <v>204024</v>
          </cell>
        </row>
        <row r="2474">
          <cell r="D2474">
            <v>204024</v>
          </cell>
        </row>
        <row r="2475">
          <cell r="D2475">
            <v>204024</v>
          </cell>
        </row>
        <row r="2476">
          <cell r="D2476">
            <v>204024</v>
          </cell>
        </row>
        <row r="2477">
          <cell r="D2477">
            <v>204024</v>
          </cell>
        </row>
        <row r="2478">
          <cell r="D2478">
            <v>204024</v>
          </cell>
        </row>
        <row r="2479">
          <cell r="D2479">
            <v>204024</v>
          </cell>
        </row>
        <row r="2480">
          <cell r="D2480">
            <v>204024</v>
          </cell>
        </row>
        <row r="2481">
          <cell r="D2481">
            <v>204024</v>
          </cell>
        </row>
        <row r="2482">
          <cell r="D2482">
            <v>204024</v>
          </cell>
        </row>
        <row r="2483">
          <cell r="D2483">
            <v>204024</v>
          </cell>
        </row>
        <row r="2484">
          <cell r="D2484">
            <v>204024</v>
          </cell>
        </row>
        <row r="2485">
          <cell r="D2485">
            <v>204024</v>
          </cell>
        </row>
        <row r="2486">
          <cell r="D2486">
            <v>204024</v>
          </cell>
        </row>
        <row r="2487">
          <cell r="D2487">
            <v>204025</v>
          </cell>
        </row>
        <row r="2488">
          <cell r="D2488">
            <v>204026</v>
          </cell>
        </row>
        <row r="2489">
          <cell r="D2489">
            <v>204026</v>
          </cell>
        </row>
        <row r="2490">
          <cell r="D2490">
            <v>204026</v>
          </cell>
        </row>
        <row r="2491">
          <cell r="D2491">
            <v>204026</v>
          </cell>
        </row>
        <row r="2492">
          <cell r="D2492">
            <v>204026</v>
          </cell>
        </row>
        <row r="2493">
          <cell r="D2493">
            <v>204026</v>
          </cell>
        </row>
        <row r="2494">
          <cell r="D2494">
            <v>204026</v>
          </cell>
        </row>
        <row r="2495">
          <cell r="D2495">
            <v>204026</v>
          </cell>
        </row>
        <row r="2496">
          <cell r="D2496">
            <v>204026</v>
          </cell>
        </row>
        <row r="2497">
          <cell r="D2497">
            <v>204026</v>
          </cell>
        </row>
        <row r="2498">
          <cell r="D2498">
            <v>204026</v>
          </cell>
        </row>
        <row r="2499">
          <cell r="D2499">
            <v>204027</v>
          </cell>
        </row>
        <row r="2500">
          <cell r="D2500">
            <v>204028</v>
          </cell>
        </row>
        <row r="2501">
          <cell r="D2501">
            <v>204029</v>
          </cell>
        </row>
        <row r="2502">
          <cell r="D2502">
            <v>204029</v>
          </cell>
        </row>
        <row r="2503">
          <cell r="D2503">
            <v>204029</v>
          </cell>
        </row>
        <row r="2504">
          <cell r="D2504">
            <v>204029</v>
          </cell>
        </row>
        <row r="2505">
          <cell r="D2505">
            <v>204029</v>
          </cell>
        </row>
        <row r="2506">
          <cell r="D2506">
            <v>204029</v>
          </cell>
        </row>
        <row r="2507">
          <cell r="D2507">
            <v>204029</v>
          </cell>
        </row>
        <row r="2508">
          <cell r="D2508">
            <v>204029</v>
          </cell>
        </row>
        <row r="2509">
          <cell r="D2509">
            <v>204029</v>
          </cell>
        </row>
        <row r="2510">
          <cell r="D2510">
            <v>204029</v>
          </cell>
        </row>
        <row r="2511">
          <cell r="D2511">
            <v>204029</v>
          </cell>
        </row>
        <row r="2512">
          <cell r="D2512">
            <v>204029</v>
          </cell>
        </row>
        <row r="2513">
          <cell r="D2513">
            <v>204029</v>
          </cell>
        </row>
        <row r="2514">
          <cell r="D2514">
            <v>204029</v>
          </cell>
        </row>
        <row r="2515">
          <cell r="D2515">
            <v>204029</v>
          </cell>
        </row>
        <row r="2516">
          <cell r="D2516">
            <v>204029</v>
          </cell>
        </row>
        <row r="2517">
          <cell r="D2517">
            <v>204029</v>
          </cell>
        </row>
        <row r="2518">
          <cell r="D2518">
            <v>204029</v>
          </cell>
        </row>
        <row r="2519">
          <cell r="D2519">
            <v>204029</v>
          </cell>
        </row>
        <row r="2520">
          <cell r="D2520">
            <v>204029</v>
          </cell>
        </row>
        <row r="2521">
          <cell r="D2521">
            <v>204029</v>
          </cell>
        </row>
        <row r="2522">
          <cell r="D2522">
            <v>204029</v>
          </cell>
        </row>
        <row r="2523">
          <cell r="D2523">
            <v>204029</v>
          </cell>
        </row>
        <row r="2524">
          <cell r="D2524">
            <v>204029</v>
          </cell>
        </row>
        <row r="2525">
          <cell r="D2525">
            <v>204029</v>
          </cell>
        </row>
        <row r="2526">
          <cell r="D2526">
            <v>204029</v>
          </cell>
        </row>
        <row r="2527">
          <cell r="D2527">
            <v>204029</v>
          </cell>
        </row>
        <row r="2528">
          <cell r="D2528">
            <v>204029</v>
          </cell>
        </row>
        <row r="2529">
          <cell r="D2529">
            <v>204029</v>
          </cell>
        </row>
        <row r="2530">
          <cell r="D2530">
            <v>204029</v>
          </cell>
        </row>
        <row r="2531">
          <cell r="D2531">
            <v>204029</v>
          </cell>
        </row>
        <row r="2532">
          <cell r="D2532">
            <v>204029</v>
          </cell>
        </row>
        <row r="2533">
          <cell r="D2533">
            <v>204029</v>
          </cell>
        </row>
        <row r="2534">
          <cell r="D2534">
            <v>204029</v>
          </cell>
        </row>
        <row r="2535">
          <cell r="D2535">
            <v>204029</v>
          </cell>
        </row>
        <row r="2536">
          <cell r="D2536">
            <v>204029</v>
          </cell>
        </row>
        <row r="2537">
          <cell r="D2537">
            <v>204029</v>
          </cell>
        </row>
        <row r="2538">
          <cell r="D2538">
            <v>204029</v>
          </cell>
        </row>
        <row r="2539">
          <cell r="D2539">
            <v>204029</v>
          </cell>
        </row>
        <row r="2540">
          <cell r="D2540">
            <v>204029</v>
          </cell>
        </row>
        <row r="2541">
          <cell r="D2541">
            <v>204029</v>
          </cell>
        </row>
        <row r="2542">
          <cell r="D2542">
            <v>204029</v>
          </cell>
        </row>
        <row r="2543">
          <cell r="D2543">
            <v>204029</v>
          </cell>
        </row>
        <row r="2544">
          <cell r="D2544">
            <v>204029</v>
          </cell>
        </row>
        <row r="2545">
          <cell r="D2545">
            <v>204029</v>
          </cell>
        </row>
        <row r="2546">
          <cell r="D2546">
            <v>204029</v>
          </cell>
        </row>
        <row r="2547">
          <cell r="D2547">
            <v>204029</v>
          </cell>
        </row>
        <row r="2548">
          <cell r="D2548">
            <v>204029</v>
          </cell>
        </row>
        <row r="2549">
          <cell r="D2549">
            <v>204029</v>
          </cell>
        </row>
        <row r="2550">
          <cell r="D2550">
            <v>204029</v>
          </cell>
        </row>
        <row r="2551">
          <cell r="D2551">
            <v>204029</v>
          </cell>
        </row>
        <row r="2552">
          <cell r="D2552">
            <v>204029</v>
          </cell>
        </row>
        <row r="2553">
          <cell r="D2553">
            <v>204029</v>
          </cell>
        </row>
        <row r="2554">
          <cell r="D2554">
            <v>204029</v>
          </cell>
        </row>
        <row r="2555">
          <cell r="D2555">
            <v>204029</v>
          </cell>
        </row>
        <row r="2556">
          <cell r="D2556">
            <v>204029</v>
          </cell>
        </row>
        <row r="2557">
          <cell r="D2557">
            <v>204029</v>
          </cell>
        </row>
        <row r="2558">
          <cell r="D2558">
            <v>204029</v>
          </cell>
        </row>
        <row r="2559">
          <cell r="D2559">
            <v>204029</v>
          </cell>
        </row>
        <row r="2560">
          <cell r="D2560">
            <v>204029</v>
          </cell>
        </row>
        <row r="2561">
          <cell r="D2561">
            <v>204029</v>
          </cell>
        </row>
        <row r="2562">
          <cell r="D2562">
            <v>204029</v>
          </cell>
        </row>
        <row r="2563">
          <cell r="D2563">
            <v>204029</v>
          </cell>
        </row>
        <row r="2564">
          <cell r="D2564">
            <v>204029</v>
          </cell>
        </row>
        <row r="2565">
          <cell r="D2565">
            <v>204029</v>
          </cell>
        </row>
        <row r="2566">
          <cell r="D2566">
            <v>204029</v>
          </cell>
        </row>
        <row r="2567">
          <cell r="D2567">
            <v>204029</v>
          </cell>
        </row>
        <row r="2568">
          <cell r="D2568">
            <v>204029</v>
          </cell>
        </row>
        <row r="2569">
          <cell r="D2569">
            <v>204029</v>
          </cell>
        </row>
        <row r="2570">
          <cell r="D2570">
            <v>204029</v>
          </cell>
        </row>
        <row r="2571">
          <cell r="D2571">
            <v>204029</v>
          </cell>
        </row>
        <row r="2572">
          <cell r="D2572">
            <v>204029</v>
          </cell>
        </row>
        <row r="2573">
          <cell r="D2573">
            <v>204029</v>
          </cell>
        </row>
        <row r="2574">
          <cell r="D2574">
            <v>204029</v>
          </cell>
        </row>
        <row r="2575">
          <cell r="D2575">
            <v>204029</v>
          </cell>
        </row>
        <row r="2576">
          <cell r="D2576">
            <v>204029</v>
          </cell>
        </row>
        <row r="2577">
          <cell r="D2577">
            <v>204029</v>
          </cell>
        </row>
        <row r="2578">
          <cell r="D2578">
            <v>204029</v>
          </cell>
        </row>
        <row r="2579">
          <cell r="D2579">
            <v>204029</v>
          </cell>
        </row>
        <row r="2580">
          <cell r="D2580">
            <v>204029</v>
          </cell>
        </row>
        <row r="2581">
          <cell r="D2581">
            <v>204029</v>
          </cell>
        </row>
        <row r="2582">
          <cell r="D2582">
            <v>204029</v>
          </cell>
        </row>
        <row r="2583">
          <cell r="D2583">
            <v>204029</v>
          </cell>
        </row>
        <row r="2584">
          <cell r="D2584">
            <v>204029</v>
          </cell>
        </row>
        <row r="2585">
          <cell r="D2585">
            <v>204029</v>
          </cell>
        </row>
        <row r="2586">
          <cell r="D2586">
            <v>204029</v>
          </cell>
        </row>
        <row r="2587">
          <cell r="D2587">
            <v>204029</v>
          </cell>
        </row>
        <row r="2588">
          <cell r="D2588">
            <v>204029</v>
          </cell>
        </row>
        <row r="2589">
          <cell r="D2589">
            <v>204029</v>
          </cell>
        </row>
        <row r="2590">
          <cell r="D2590">
            <v>204029</v>
          </cell>
        </row>
        <row r="2591">
          <cell r="D2591">
            <v>204029</v>
          </cell>
        </row>
        <row r="2592">
          <cell r="D2592">
            <v>204029</v>
          </cell>
        </row>
        <row r="2593">
          <cell r="D2593">
            <v>204029</v>
          </cell>
        </row>
        <row r="2594">
          <cell r="D2594">
            <v>204029</v>
          </cell>
        </row>
        <row r="2595">
          <cell r="D2595">
            <v>204029</v>
          </cell>
        </row>
        <row r="2596">
          <cell r="D2596">
            <v>204029</v>
          </cell>
        </row>
        <row r="2597">
          <cell r="D2597">
            <v>204029</v>
          </cell>
        </row>
        <row r="2598">
          <cell r="D2598">
            <v>204029</v>
          </cell>
        </row>
        <row r="2599">
          <cell r="D2599">
            <v>204029</v>
          </cell>
        </row>
        <row r="2600">
          <cell r="D2600">
            <v>204029</v>
          </cell>
        </row>
        <row r="2601">
          <cell r="D2601">
            <v>204029</v>
          </cell>
        </row>
        <row r="2602">
          <cell r="D2602">
            <v>204029</v>
          </cell>
        </row>
        <row r="2603">
          <cell r="D2603">
            <v>204029</v>
          </cell>
        </row>
        <row r="2604">
          <cell r="D2604">
            <v>204029</v>
          </cell>
        </row>
        <row r="2605">
          <cell r="D2605">
            <v>204029</v>
          </cell>
        </row>
        <row r="2606">
          <cell r="D2606">
            <v>204029</v>
          </cell>
        </row>
        <row r="2607">
          <cell r="D2607">
            <v>204029</v>
          </cell>
        </row>
        <row r="2608">
          <cell r="D2608">
            <v>204029</v>
          </cell>
        </row>
        <row r="2609">
          <cell r="D2609">
            <v>204029</v>
          </cell>
        </row>
        <row r="2610">
          <cell r="D2610">
            <v>204029</v>
          </cell>
        </row>
        <row r="2611">
          <cell r="D2611">
            <v>204029</v>
          </cell>
        </row>
        <row r="2612">
          <cell r="D2612">
            <v>204029</v>
          </cell>
        </row>
        <row r="2613">
          <cell r="D2613">
            <v>204029</v>
          </cell>
        </row>
        <row r="2614">
          <cell r="D2614">
            <v>204029</v>
          </cell>
        </row>
        <row r="2615">
          <cell r="D2615">
            <v>204029</v>
          </cell>
        </row>
        <row r="2616">
          <cell r="D2616">
            <v>204029</v>
          </cell>
        </row>
        <row r="2617">
          <cell r="D2617">
            <v>204029</v>
          </cell>
        </row>
        <row r="2618">
          <cell r="D2618">
            <v>204029</v>
          </cell>
        </row>
        <row r="2619">
          <cell r="D2619">
            <v>204029</v>
          </cell>
        </row>
        <row r="2620">
          <cell r="D2620">
            <v>204029</v>
          </cell>
        </row>
        <row r="2621">
          <cell r="D2621">
            <v>204029</v>
          </cell>
        </row>
        <row r="2622">
          <cell r="D2622">
            <v>204029</v>
          </cell>
        </row>
        <row r="2623">
          <cell r="D2623">
            <v>204029</v>
          </cell>
        </row>
        <row r="2624">
          <cell r="D2624">
            <v>204029</v>
          </cell>
        </row>
        <row r="2625">
          <cell r="D2625">
            <v>204029</v>
          </cell>
        </row>
        <row r="2626">
          <cell r="D2626">
            <v>204029</v>
          </cell>
        </row>
        <row r="2627">
          <cell r="D2627">
            <v>204029</v>
          </cell>
        </row>
        <row r="2628">
          <cell r="D2628">
            <v>204029</v>
          </cell>
        </row>
        <row r="2629">
          <cell r="D2629">
            <v>204029</v>
          </cell>
        </row>
        <row r="2630">
          <cell r="D2630">
            <v>204029</v>
          </cell>
        </row>
        <row r="2631">
          <cell r="D2631">
            <v>204029</v>
          </cell>
        </row>
        <row r="2632">
          <cell r="D2632">
            <v>204029</v>
          </cell>
        </row>
        <row r="2633">
          <cell r="D2633">
            <v>204029</v>
          </cell>
        </row>
        <row r="2634">
          <cell r="D2634">
            <v>204029</v>
          </cell>
        </row>
        <row r="2635">
          <cell r="D2635">
            <v>204029</v>
          </cell>
        </row>
        <row r="2636">
          <cell r="D2636">
            <v>204029</v>
          </cell>
        </row>
        <row r="2637">
          <cell r="D2637">
            <v>204029</v>
          </cell>
        </row>
        <row r="2638">
          <cell r="D2638">
            <v>204029</v>
          </cell>
        </row>
        <row r="2639">
          <cell r="D2639">
            <v>204029</v>
          </cell>
        </row>
        <row r="2640">
          <cell r="D2640">
            <v>204029</v>
          </cell>
        </row>
        <row r="2641">
          <cell r="D2641">
            <v>204029</v>
          </cell>
        </row>
        <row r="2642">
          <cell r="D2642">
            <v>204029</v>
          </cell>
        </row>
        <row r="2643">
          <cell r="D2643">
            <v>204029</v>
          </cell>
        </row>
        <row r="2644">
          <cell r="D2644">
            <v>204029</v>
          </cell>
        </row>
        <row r="2645">
          <cell r="D2645">
            <v>204029</v>
          </cell>
        </row>
        <row r="2646">
          <cell r="D2646">
            <v>204029</v>
          </cell>
        </row>
        <row r="2647">
          <cell r="D2647">
            <v>204029</v>
          </cell>
        </row>
        <row r="2648">
          <cell r="D2648">
            <v>204029</v>
          </cell>
        </row>
        <row r="2649">
          <cell r="D2649">
            <v>204029</v>
          </cell>
        </row>
        <row r="2650">
          <cell r="D2650">
            <v>204029</v>
          </cell>
        </row>
        <row r="2651">
          <cell r="D2651">
            <v>204029</v>
          </cell>
        </row>
        <row r="2652">
          <cell r="D2652">
            <v>204029</v>
          </cell>
        </row>
        <row r="2653">
          <cell r="D2653">
            <v>204029</v>
          </cell>
        </row>
        <row r="2654">
          <cell r="D2654">
            <v>204029</v>
          </cell>
        </row>
        <row r="2655">
          <cell r="D2655">
            <v>204030</v>
          </cell>
        </row>
        <row r="2656">
          <cell r="D2656">
            <v>204030</v>
          </cell>
        </row>
        <row r="2657">
          <cell r="D2657">
            <v>204030</v>
          </cell>
        </row>
        <row r="2658">
          <cell r="D2658">
            <v>204030</v>
          </cell>
        </row>
        <row r="2659">
          <cell r="D2659">
            <v>204030</v>
          </cell>
        </row>
        <row r="2660">
          <cell r="D2660">
            <v>204030</v>
          </cell>
        </row>
        <row r="2661">
          <cell r="D2661">
            <v>204030</v>
          </cell>
        </row>
        <row r="2662">
          <cell r="D2662">
            <v>204030</v>
          </cell>
        </row>
        <row r="2663">
          <cell r="D2663">
            <v>204030</v>
          </cell>
        </row>
        <row r="2664">
          <cell r="D2664">
            <v>204030</v>
          </cell>
        </row>
        <row r="2665">
          <cell r="D2665">
            <v>204030</v>
          </cell>
        </row>
        <row r="2666">
          <cell r="D2666">
            <v>204030</v>
          </cell>
        </row>
        <row r="2667">
          <cell r="D2667">
            <v>204030</v>
          </cell>
        </row>
        <row r="2668">
          <cell r="D2668">
            <v>204030</v>
          </cell>
        </row>
        <row r="2669">
          <cell r="D2669">
            <v>204030</v>
          </cell>
        </row>
        <row r="2670">
          <cell r="D2670">
            <v>204030</v>
          </cell>
        </row>
        <row r="2671">
          <cell r="D2671">
            <v>204030</v>
          </cell>
        </row>
        <row r="2672">
          <cell r="D2672">
            <v>204030</v>
          </cell>
        </row>
        <row r="2673">
          <cell r="D2673">
            <v>204030</v>
          </cell>
        </row>
        <row r="2674">
          <cell r="D2674">
            <v>204030</v>
          </cell>
        </row>
        <row r="2675">
          <cell r="D2675">
            <v>204030</v>
          </cell>
        </row>
        <row r="2676">
          <cell r="D2676">
            <v>204030</v>
          </cell>
        </row>
        <row r="2677">
          <cell r="D2677">
            <v>204030</v>
          </cell>
        </row>
        <row r="2678">
          <cell r="D2678">
            <v>204030</v>
          </cell>
        </row>
        <row r="2679">
          <cell r="D2679">
            <v>204030</v>
          </cell>
        </row>
        <row r="2680">
          <cell r="D2680">
            <v>204030</v>
          </cell>
        </row>
        <row r="2681">
          <cell r="D2681">
            <v>204030</v>
          </cell>
        </row>
        <row r="2682">
          <cell r="D2682">
            <v>204030</v>
          </cell>
        </row>
        <row r="2683">
          <cell r="D2683">
            <v>204030</v>
          </cell>
        </row>
        <row r="2684">
          <cell r="D2684">
            <v>204030</v>
          </cell>
        </row>
        <row r="2685">
          <cell r="D2685">
            <v>204030</v>
          </cell>
        </row>
        <row r="2686">
          <cell r="D2686">
            <v>204030</v>
          </cell>
        </row>
        <row r="2687">
          <cell r="D2687">
            <v>204030</v>
          </cell>
        </row>
        <row r="2688">
          <cell r="D2688">
            <v>204030</v>
          </cell>
        </row>
        <row r="2689">
          <cell r="D2689">
            <v>204030</v>
          </cell>
        </row>
        <row r="2690">
          <cell r="D2690">
            <v>204030</v>
          </cell>
        </row>
        <row r="2691">
          <cell r="D2691">
            <v>204030</v>
          </cell>
        </row>
        <row r="2692">
          <cell r="D2692">
            <v>204030</v>
          </cell>
        </row>
        <row r="2693">
          <cell r="D2693">
            <v>204030</v>
          </cell>
        </row>
        <row r="2694">
          <cell r="D2694">
            <v>204030</v>
          </cell>
        </row>
        <row r="2695">
          <cell r="D2695">
            <v>204030</v>
          </cell>
        </row>
        <row r="2696">
          <cell r="D2696">
            <v>204030</v>
          </cell>
        </row>
        <row r="2697">
          <cell r="D2697">
            <v>204030</v>
          </cell>
        </row>
        <row r="2698">
          <cell r="D2698">
            <v>204030</v>
          </cell>
        </row>
        <row r="2699">
          <cell r="D2699">
            <v>204030</v>
          </cell>
        </row>
        <row r="2700">
          <cell r="D2700">
            <v>204030</v>
          </cell>
        </row>
        <row r="2701">
          <cell r="D2701">
            <v>204030</v>
          </cell>
        </row>
        <row r="2702">
          <cell r="D2702">
            <v>204030</v>
          </cell>
        </row>
        <row r="2703">
          <cell r="D2703">
            <v>204030</v>
          </cell>
        </row>
        <row r="2704">
          <cell r="D2704">
            <v>204030</v>
          </cell>
        </row>
        <row r="2705">
          <cell r="D2705">
            <v>204030</v>
          </cell>
        </row>
        <row r="2706">
          <cell r="D2706">
            <v>204030</v>
          </cell>
        </row>
        <row r="2707">
          <cell r="D2707">
            <v>204030</v>
          </cell>
        </row>
        <row r="2708">
          <cell r="D2708">
            <v>204030</v>
          </cell>
        </row>
        <row r="2709">
          <cell r="D2709">
            <v>204030</v>
          </cell>
        </row>
        <row r="2710">
          <cell r="D2710">
            <v>204030</v>
          </cell>
        </row>
        <row r="2711">
          <cell r="D2711">
            <v>204030</v>
          </cell>
        </row>
        <row r="2712">
          <cell r="D2712">
            <v>204030</v>
          </cell>
        </row>
        <row r="2713">
          <cell r="D2713">
            <v>204030</v>
          </cell>
        </row>
        <row r="2714">
          <cell r="D2714">
            <v>204030</v>
          </cell>
        </row>
        <row r="2715">
          <cell r="D2715">
            <v>204030</v>
          </cell>
        </row>
        <row r="2716">
          <cell r="D2716">
            <v>204030</v>
          </cell>
        </row>
        <row r="2717">
          <cell r="D2717">
            <v>204030</v>
          </cell>
        </row>
        <row r="2718">
          <cell r="D2718">
            <v>204030</v>
          </cell>
        </row>
        <row r="2719">
          <cell r="D2719">
            <v>204030</v>
          </cell>
        </row>
        <row r="2720">
          <cell r="D2720">
            <v>204030</v>
          </cell>
        </row>
        <row r="2721">
          <cell r="D2721">
            <v>204030</v>
          </cell>
        </row>
        <row r="2722">
          <cell r="D2722">
            <v>204030</v>
          </cell>
        </row>
        <row r="2723">
          <cell r="D2723">
            <v>204030</v>
          </cell>
        </row>
        <row r="2724">
          <cell r="D2724">
            <v>204030</v>
          </cell>
        </row>
        <row r="2725">
          <cell r="D2725">
            <v>204030</v>
          </cell>
        </row>
        <row r="2726">
          <cell r="D2726">
            <v>204030</v>
          </cell>
        </row>
        <row r="2727">
          <cell r="D2727">
            <v>204030</v>
          </cell>
        </row>
        <row r="2728">
          <cell r="D2728">
            <v>204030</v>
          </cell>
        </row>
        <row r="2729">
          <cell r="D2729">
            <v>204030</v>
          </cell>
        </row>
        <row r="2730">
          <cell r="D2730">
            <v>204030</v>
          </cell>
        </row>
        <row r="2731">
          <cell r="D2731">
            <v>204030</v>
          </cell>
        </row>
        <row r="2732">
          <cell r="D2732">
            <v>204030</v>
          </cell>
        </row>
        <row r="2733">
          <cell r="D2733">
            <v>204030</v>
          </cell>
        </row>
        <row r="2734">
          <cell r="D2734">
            <v>204030</v>
          </cell>
        </row>
        <row r="2735">
          <cell r="D2735">
            <v>204030</v>
          </cell>
        </row>
        <row r="2736">
          <cell r="D2736">
            <v>204031</v>
          </cell>
        </row>
        <row r="2737">
          <cell r="D2737">
            <v>204031</v>
          </cell>
        </row>
        <row r="2738">
          <cell r="D2738">
            <v>204031</v>
          </cell>
        </row>
        <row r="2739">
          <cell r="D2739">
            <v>204031</v>
          </cell>
        </row>
        <row r="2740">
          <cell r="D2740">
            <v>204031</v>
          </cell>
        </row>
        <row r="2741">
          <cell r="D2741">
            <v>204032</v>
          </cell>
        </row>
        <row r="2742">
          <cell r="D2742">
            <v>204032</v>
          </cell>
        </row>
        <row r="2743">
          <cell r="D2743">
            <v>204032</v>
          </cell>
        </row>
        <row r="2744">
          <cell r="D2744">
            <v>204032</v>
          </cell>
        </row>
        <row r="2745">
          <cell r="D2745">
            <v>204032</v>
          </cell>
        </row>
        <row r="2746">
          <cell r="D2746">
            <v>204032</v>
          </cell>
        </row>
        <row r="2747">
          <cell r="D2747">
            <v>204032</v>
          </cell>
        </row>
        <row r="2748">
          <cell r="D2748">
            <v>204032</v>
          </cell>
        </row>
        <row r="2749">
          <cell r="D2749">
            <v>204032</v>
          </cell>
        </row>
        <row r="2750">
          <cell r="D2750">
            <v>204032</v>
          </cell>
        </row>
        <row r="2751">
          <cell r="D2751">
            <v>204032</v>
          </cell>
        </row>
        <row r="2752">
          <cell r="D2752">
            <v>204032</v>
          </cell>
        </row>
        <row r="2753">
          <cell r="D2753">
            <v>204032</v>
          </cell>
        </row>
        <row r="2754">
          <cell r="D2754">
            <v>204032</v>
          </cell>
        </row>
        <row r="2755">
          <cell r="D2755">
            <v>204032</v>
          </cell>
        </row>
        <row r="2756">
          <cell r="D2756">
            <v>204032</v>
          </cell>
        </row>
        <row r="2757">
          <cell r="D2757">
            <v>204032</v>
          </cell>
        </row>
        <row r="2758">
          <cell r="D2758">
            <v>204032</v>
          </cell>
        </row>
        <row r="2759">
          <cell r="D2759">
            <v>204032</v>
          </cell>
        </row>
        <row r="2760">
          <cell r="D2760">
            <v>204032</v>
          </cell>
        </row>
        <row r="2761">
          <cell r="D2761">
            <v>204032</v>
          </cell>
        </row>
        <row r="2762">
          <cell r="D2762">
            <v>204032</v>
          </cell>
        </row>
        <row r="2763">
          <cell r="D2763">
            <v>204032</v>
          </cell>
        </row>
        <row r="2764">
          <cell r="D2764">
            <v>204032</v>
          </cell>
        </row>
        <row r="2765">
          <cell r="D2765">
            <v>204032</v>
          </cell>
        </row>
        <row r="2766">
          <cell r="D2766">
            <v>204032</v>
          </cell>
        </row>
        <row r="2767">
          <cell r="D2767">
            <v>204032</v>
          </cell>
        </row>
        <row r="2768">
          <cell r="D2768">
            <v>204032</v>
          </cell>
        </row>
        <row r="2769">
          <cell r="D2769">
            <v>204032</v>
          </cell>
        </row>
        <row r="2770">
          <cell r="D2770">
            <v>204032</v>
          </cell>
        </row>
        <row r="2771">
          <cell r="D2771">
            <v>204032</v>
          </cell>
        </row>
        <row r="2772">
          <cell r="D2772">
            <v>204032</v>
          </cell>
        </row>
        <row r="2773">
          <cell r="D2773">
            <v>204032</v>
          </cell>
        </row>
        <row r="2774">
          <cell r="D2774">
            <v>204032</v>
          </cell>
        </row>
        <row r="2775">
          <cell r="D2775">
            <v>204032</v>
          </cell>
        </row>
        <row r="2776">
          <cell r="D2776">
            <v>204032</v>
          </cell>
        </row>
        <row r="2777">
          <cell r="D2777">
            <v>204032</v>
          </cell>
        </row>
        <row r="2778">
          <cell r="D2778">
            <v>204032</v>
          </cell>
        </row>
        <row r="2779">
          <cell r="D2779">
            <v>204032</v>
          </cell>
        </row>
        <row r="2780">
          <cell r="D2780">
            <v>204032</v>
          </cell>
        </row>
        <row r="2781">
          <cell r="D2781">
            <v>204032</v>
          </cell>
        </row>
        <row r="2782">
          <cell r="D2782">
            <v>204032</v>
          </cell>
        </row>
        <row r="2783">
          <cell r="D2783">
            <v>204032</v>
          </cell>
        </row>
        <row r="2784">
          <cell r="D2784">
            <v>204032</v>
          </cell>
        </row>
        <row r="2785">
          <cell r="D2785">
            <v>204032</v>
          </cell>
        </row>
        <row r="2786">
          <cell r="D2786">
            <v>204032</v>
          </cell>
        </row>
        <row r="2787">
          <cell r="D2787">
            <v>204032</v>
          </cell>
        </row>
        <row r="2788">
          <cell r="D2788">
            <v>204032</v>
          </cell>
        </row>
        <row r="2789">
          <cell r="D2789">
            <v>204032</v>
          </cell>
        </row>
        <row r="2790">
          <cell r="D2790">
            <v>204032</v>
          </cell>
        </row>
        <row r="2791">
          <cell r="D2791">
            <v>204032</v>
          </cell>
        </row>
        <row r="2792">
          <cell r="D2792">
            <v>204032</v>
          </cell>
        </row>
        <row r="2793">
          <cell r="D2793">
            <v>204032</v>
          </cell>
        </row>
        <row r="2794">
          <cell r="D2794">
            <v>204032</v>
          </cell>
        </row>
        <row r="2795">
          <cell r="D2795">
            <v>204032</v>
          </cell>
        </row>
        <row r="2796">
          <cell r="D2796">
            <v>204032</v>
          </cell>
        </row>
        <row r="2797">
          <cell r="D2797">
            <v>204032</v>
          </cell>
        </row>
        <row r="2798">
          <cell r="D2798">
            <v>204032</v>
          </cell>
        </row>
        <row r="2799">
          <cell r="D2799">
            <v>204032</v>
          </cell>
        </row>
        <row r="2800">
          <cell r="D2800">
            <v>204032</v>
          </cell>
        </row>
        <row r="2801">
          <cell r="D2801">
            <v>204032</v>
          </cell>
        </row>
        <row r="2802">
          <cell r="D2802">
            <v>204032</v>
          </cell>
        </row>
        <row r="2803">
          <cell r="D2803">
            <v>204032</v>
          </cell>
        </row>
        <row r="2804">
          <cell r="D2804">
            <v>204032</v>
          </cell>
        </row>
        <row r="2805">
          <cell r="D2805">
            <v>204032</v>
          </cell>
        </row>
        <row r="2806">
          <cell r="D2806">
            <v>204032</v>
          </cell>
        </row>
        <row r="2807">
          <cell r="D2807">
            <v>204032</v>
          </cell>
        </row>
        <row r="2808">
          <cell r="D2808">
            <v>204032</v>
          </cell>
        </row>
        <row r="2809">
          <cell r="D2809">
            <v>204032</v>
          </cell>
        </row>
        <row r="2810">
          <cell r="D2810">
            <v>204033</v>
          </cell>
        </row>
        <row r="2811">
          <cell r="D2811">
            <v>204033</v>
          </cell>
        </row>
        <row r="2812">
          <cell r="D2812">
            <v>204033</v>
          </cell>
        </row>
        <row r="2813">
          <cell r="D2813">
            <v>204033</v>
          </cell>
        </row>
        <row r="2814">
          <cell r="D2814">
            <v>204033</v>
          </cell>
        </row>
        <row r="2815">
          <cell r="D2815">
            <v>204033</v>
          </cell>
        </row>
        <row r="2816">
          <cell r="D2816">
            <v>204033</v>
          </cell>
        </row>
        <row r="2817">
          <cell r="D2817">
            <v>204033</v>
          </cell>
        </row>
        <row r="2818">
          <cell r="D2818">
            <v>204033</v>
          </cell>
        </row>
        <row r="2819">
          <cell r="D2819">
            <v>204033</v>
          </cell>
        </row>
        <row r="2820">
          <cell r="D2820">
            <v>204033</v>
          </cell>
        </row>
        <row r="2821">
          <cell r="D2821">
            <v>204033</v>
          </cell>
        </row>
        <row r="2822">
          <cell r="D2822">
            <v>204033</v>
          </cell>
        </row>
        <row r="2823">
          <cell r="D2823">
            <v>204033</v>
          </cell>
        </row>
        <row r="2824">
          <cell r="D2824">
            <v>204033</v>
          </cell>
        </row>
        <row r="2825">
          <cell r="D2825">
            <v>204033</v>
          </cell>
        </row>
        <row r="2826">
          <cell r="D2826">
            <v>204033</v>
          </cell>
        </row>
        <row r="2827">
          <cell r="D2827">
            <v>204033</v>
          </cell>
        </row>
        <row r="2828">
          <cell r="D2828">
            <v>204033</v>
          </cell>
        </row>
        <row r="2829">
          <cell r="D2829">
            <v>204033</v>
          </cell>
        </row>
        <row r="2830">
          <cell r="D2830">
            <v>204033</v>
          </cell>
        </row>
        <row r="2831">
          <cell r="D2831">
            <v>204034</v>
          </cell>
        </row>
        <row r="2832">
          <cell r="D2832">
            <v>204035</v>
          </cell>
        </row>
        <row r="2833">
          <cell r="D2833">
            <v>204036</v>
          </cell>
        </row>
        <row r="2834">
          <cell r="D2834">
            <v>204037</v>
          </cell>
        </row>
        <row r="2835">
          <cell r="D2835">
            <v>204038</v>
          </cell>
        </row>
        <row r="2836">
          <cell r="D2836">
            <v>204039</v>
          </cell>
        </row>
        <row r="2837">
          <cell r="D2837">
            <v>204039</v>
          </cell>
        </row>
        <row r="2838">
          <cell r="D2838">
            <v>204039</v>
          </cell>
        </row>
        <row r="2839">
          <cell r="D2839">
            <v>204039</v>
          </cell>
        </row>
        <row r="2840">
          <cell r="D2840">
            <v>204040</v>
          </cell>
        </row>
        <row r="2841">
          <cell r="D2841">
            <v>204040</v>
          </cell>
        </row>
        <row r="2842">
          <cell r="D2842">
            <v>204040</v>
          </cell>
        </row>
        <row r="2843">
          <cell r="D2843">
            <v>204040</v>
          </cell>
        </row>
        <row r="2844">
          <cell r="D2844">
            <v>204040</v>
          </cell>
        </row>
        <row r="2845">
          <cell r="D2845">
            <v>204040</v>
          </cell>
        </row>
        <row r="2846">
          <cell r="D2846">
            <v>204040</v>
          </cell>
        </row>
        <row r="2847">
          <cell r="D2847">
            <v>204040</v>
          </cell>
        </row>
        <row r="2848">
          <cell r="D2848">
            <v>204040</v>
          </cell>
        </row>
        <row r="2849">
          <cell r="D2849">
            <v>204040</v>
          </cell>
        </row>
        <row r="2850">
          <cell r="D2850">
            <v>204040</v>
          </cell>
        </row>
        <row r="2851">
          <cell r="D2851">
            <v>204040</v>
          </cell>
        </row>
        <row r="2852">
          <cell r="D2852">
            <v>204041</v>
          </cell>
        </row>
        <row r="2853">
          <cell r="D2853">
            <v>204041</v>
          </cell>
        </row>
        <row r="2854">
          <cell r="D2854">
            <v>204041</v>
          </cell>
        </row>
        <row r="2855">
          <cell r="D2855">
            <v>204041</v>
          </cell>
        </row>
        <row r="2856">
          <cell r="D2856">
            <v>204041</v>
          </cell>
        </row>
        <row r="2857">
          <cell r="D2857">
            <v>204041</v>
          </cell>
        </row>
        <row r="2858">
          <cell r="D2858">
            <v>204041</v>
          </cell>
        </row>
        <row r="2859">
          <cell r="D2859">
            <v>204041</v>
          </cell>
        </row>
        <row r="2860">
          <cell r="D2860">
            <v>204042</v>
          </cell>
        </row>
        <row r="2861">
          <cell r="D2861">
            <v>204043</v>
          </cell>
        </row>
        <row r="2862">
          <cell r="D2862">
            <v>204044</v>
          </cell>
        </row>
        <row r="2863">
          <cell r="D2863">
            <v>204044</v>
          </cell>
        </row>
        <row r="2864">
          <cell r="D2864">
            <v>204045</v>
          </cell>
        </row>
        <row r="2865">
          <cell r="D2865">
            <v>204045</v>
          </cell>
        </row>
        <row r="2866">
          <cell r="D2866">
            <v>204045</v>
          </cell>
        </row>
        <row r="2867">
          <cell r="D2867">
            <v>204046</v>
          </cell>
        </row>
        <row r="2868">
          <cell r="D2868">
            <v>204047</v>
          </cell>
        </row>
        <row r="2869">
          <cell r="D2869">
            <v>204047</v>
          </cell>
        </row>
        <row r="2870">
          <cell r="D2870">
            <v>204048</v>
          </cell>
        </row>
        <row r="2871">
          <cell r="D2871">
            <v>204048</v>
          </cell>
        </row>
        <row r="2872">
          <cell r="D2872">
            <v>204048</v>
          </cell>
        </row>
        <row r="2873">
          <cell r="D2873">
            <v>204049</v>
          </cell>
        </row>
        <row r="2874">
          <cell r="D2874">
            <v>204050</v>
          </cell>
        </row>
        <row r="2875">
          <cell r="D2875">
            <v>204050</v>
          </cell>
        </row>
        <row r="2876">
          <cell r="D2876">
            <v>204051</v>
          </cell>
        </row>
        <row r="2877">
          <cell r="D2877">
            <v>204051</v>
          </cell>
        </row>
        <row r="2878">
          <cell r="D2878">
            <v>204051</v>
          </cell>
        </row>
        <row r="2879">
          <cell r="D2879">
            <v>204052</v>
          </cell>
        </row>
        <row r="2880">
          <cell r="D2880">
            <v>204052</v>
          </cell>
        </row>
        <row r="2881">
          <cell r="D2881">
            <v>204053</v>
          </cell>
        </row>
        <row r="2882">
          <cell r="D2882">
            <v>204054</v>
          </cell>
        </row>
        <row r="2883">
          <cell r="D2883">
            <v>204055</v>
          </cell>
        </row>
        <row r="2884">
          <cell r="D2884">
            <v>204056</v>
          </cell>
        </row>
        <row r="2885">
          <cell r="D2885">
            <v>204056</v>
          </cell>
        </row>
        <row r="2886">
          <cell r="D2886">
            <v>204057</v>
          </cell>
        </row>
        <row r="2887">
          <cell r="D2887">
            <v>204058</v>
          </cell>
        </row>
        <row r="2888">
          <cell r="D2888">
            <v>204058</v>
          </cell>
        </row>
        <row r="2889">
          <cell r="D2889">
            <v>204059</v>
          </cell>
        </row>
        <row r="2890">
          <cell r="D2890">
            <v>204059</v>
          </cell>
        </row>
        <row r="2891">
          <cell r="D2891">
            <v>204060</v>
          </cell>
        </row>
        <row r="2892">
          <cell r="D2892">
            <v>204061</v>
          </cell>
        </row>
        <row r="2893">
          <cell r="D2893">
            <v>204061</v>
          </cell>
        </row>
        <row r="2894">
          <cell r="D2894">
            <v>204062</v>
          </cell>
        </row>
        <row r="2895">
          <cell r="D2895">
            <v>204062</v>
          </cell>
        </row>
        <row r="2896">
          <cell r="D2896">
            <v>204062</v>
          </cell>
        </row>
        <row r="2897">
          <cell r="D2897">
            <v>204062</v>
          </cell>
        </row>
        <row r="2898">
          <cell r="D2898">
            <v>204062</v>
          </cell>
        </row>
        <row r="2899">
          <cell r="D2899">
            <v>204062</v>
          </cell>
        </row>
        <row r="2900">
          <cell r="D2900">
            <v>204063</v>
          </cell>
        </row>
        <row r="2901">
          <cell r="D2901">
            <v>204064</v>
          </cell>
        </row>
        <row r="2902">
          <cell r="D2902">
            <v>204064</v>
          </cell>
        </row>
        <row r="2903">
          <cell r="D2903">
            <v>204064</v>
          </cell>
        </row>
        <row r="2904">
          <cell r="D2904">
            <v>204065</v>
          </cell>
        </row>
        <row r="2905">
          <cell r="D2905">
            <v>204066</v>
          </cell>
        </row>
        <row r="2906">
          <cell r="D2906">
            <v>204067</v>
          </cell>
        </row>
        <row r="2907">
          <cell r="D2907">
            <v>204068</v>
          </cell>
        </row>
        <row r="2908">
          <cell r="D2908">
            <v>204069</v>
          </cell>
        </row>
        <row r="2909">
          <cell r="D2909">
            <v>204069</v>
          </cell>
        </row>
        <row r="2910">
          <cell r="D2910">
            <v>204070</v>
          </cell>
        </row>
        <row r="2911">
          <cell r="D2911">
            <v>204071</v>
          </cell>
        </row>
        <row r="2912">
          <cell r="D2912">
            <v>204071</v>
          </cell>
        </row>
        <row r="2913">
          <cell r="D2913">
            <v>204072</v>
          </cell>
        </row>
        <row r="2914">
          <cell r="D2914">
            <v>204073</v>
          </cell>
        </row>
        <row r="2915">
          <cell r="D2915">
            <v>204073</v>
          </cell>
        </row>
        <row r="2916">
          <cell r="D2916">
            <v>204074</v>
          </cell>
        </row>
        <row r="2917">
          <cell r="D2917">
            <v>204074</v>
          </cell>
        </row>
        <row r="2918">
          <cell r="D2918">
            <v>204074</v>
          </cell>
        </row>
        <row r="2919">
          <cell r="D2919">
            <v>204074</v>
          </cell>
        </row>
        <row r="2920">
          <cell r="D2920">
            <v>204074</v>
          </cell>
        </row>
        <row r="2921">
          <cell r="D2921">
            <v>204075</v>
          </cell>
        </row>
        <row r="2922">
          <cell r="D2922">
            <v>204075</v>
          </cell>
        </row>
        <row r="2923">
          <cell r="D2923">
            <v>204075</v>
          </cell>
        </row>
        <row r="2924">
          <cell r="D2924">
            <v>204076</v>
          </cell>
        </row>
        <row r="2925">
          <cell r="D2925">
            <v>204077</v>
          </cell>
        </row>
        <row r="2926">
          <cell r="D2926">
            <v>204078</v>
          </cell>
        </row>
        <row r="2927">
          <cell r="D2927">
            <v>204079</v>
          </cell>
        </row>
        <row r="2928">
          <cell r="D2928">
            <v>204080</v>
          </cell>
        </row>
        <row r="2929">
          <cell r="D2929">
            <v>204080</v>
          </cell>
        </row>
        <row r="2930">
          <cell r="D2930">
            <v>204080</v>
          </cell>
        </row>
        <row r="2931">
          <cell r="D2931">
            <v>204080</v>
          </cell>
        </row>
        <row r="2932">
          <cell r="D2932">
            <v>204080</v>
          </cell>
        </row>
        <row r="2933">
          <cell r="D2933">
            <v>204080</v>
          </cell>
        </row>
        <row r="2934">
          <cell r="D2934">
            <v>204081</v>
          </cell>
        </row>
        <row r="2935">
          <cell r="D2935">
            <v>204081</v>
          </cell>
        </row>
        <row r="2936">
          <cell r="D2936">
            <v>204081</v>
          </cell>
        </row>
        <row r="2937">
          <cell r="D2937">
            <v>204082</v>
          </cell>
        </row>
        <row r="2938">
          <cell r="D2938">
            <v>204083</v>
          </cell>
        </row>
        <row r="2939">
          <cell r="D2939">
            <v>204083</v>
          </cell>
        </row>
        <row r="2940">
          <cell r="D2940">
            <v>204083</v>
          </cell>
        </row>
        <row r="2941">
          <cell r="D2941">
            <v>204083</v>
          </cell>
        </row>
        <row r="2942">
          <cell r="D2942">
            <v>204083</v>
          </cell>
        </row>
        <row r="2943">
          <cell r="D2943">
            <v>204083</v>
          </cell>
        </row>
        <row r="2944">
          <cell r="D2944">
            <v>204084</v>
          </cell>
        </row>
        <row r="2945">
          <cell r="D2945">
            <v>204084</v>
          </cell>
        </row>
        <row r="2946">
          <cell r="D2946">
            <v>204085</v>
          </cell>
        </row>
        <row r="2947">
          <cell r="D2947">
            <v>204085</v>
          </cell>
        </row>
        <row r="2948">
          <cell r="D2948">
            <v>204086</v>
          </cell>
        </row>
        <row r="2949">
          <cell r="D2949">
            <v>204086</v>
          </cell>
        </row>
        <row r="2950">
          <cell r="D2950">
            <v>204086</v>
          </cell>
        </row>
        <row r="2951">
          <cell r="D2951">
            <v>204086</v>
          </cell>
        </row>
        <row r="2952">
          <cell r="D2952">
            <v>204086</v>
          </cell>
        </row>
        <row r="2953">
          <cell r="D2953">
            <v>204086</v>
          </cell>
        </row>
        <row r="2954">
          <cell r="D2954">
            <v>204086</v>
          </cell>
        </row>
        <row r="2955">
          <cell r="D2955">
            <v>204086</v>
          </cell>
        </row>
        <row r="2956">
          <cell r="D2956">
            <v>204087</v>
          </cell>
        </row>
        <row r="2957">
          <cell r="D2957">
            <v>204088</v>
          </cell>
        </row>
        <row r="2958">
          <cell r="D2958">
            <v>204089</v>
          </cell>
        </row>
        <row r="2959">
          <cell r="D2959">
            <v>204090</v>
          </cell>
        </row>
        <row r="2960">
          <cell r="D2960">
            <v>204091</v>
          </cell>
        </row>
        <row r="2961">
          <cell r="D2961">
            <v>204092</v>
          </cell>
        </row>
        <row r="2962">
          <cell r="D2962">
            <v>204093</v>
          </cell>
        </row>
        <row r="2963">
          <cell r="D2963">
            <v>204093</v>
          </cell>
        </row>
        <row r="2964">
          <cell r="D2964">
            <v>204093</v>
          </cell>
        </row>
        <row r="2965">
          <cell r="D2965">
            <v>204093</v>
          </cell>
        </row>
        <row r="2966">
          <cell r="D2966">
            <v>204093</v>
          </cell>
        </row>
        <row r="2967">
          <cell r="D2967">
            <v>204093</v>
          </cell>
        </row>
        <row r="2968">
          <cell r="D2968">
            <v>204093</v>
          </cell>
        </row>
        <row r="2969">
          <cell r="D2969">
            <v>204093</v>
          </cell>
        </row>
        <row r="2970">
          <cell r="D2970">
            <v>204094</v>
          </cell>
        </row>
        <row r="2971">
          <cell r="D2971">
            <v>204094</v>
          </cell>
        </row>
        <row r="2972">
          <cell r="D2972">
            <v>204094</v>
          </cell>
        </row>
        <row r="2973">
          <cell r="D2973">
            <v>204094</v>
          </cell>
        </row>
        <row r="2974">
          <cell r="D2974">
            <v>204094</v>
          </cell>
        </row>
        <row r="2975">
          <cell r="D2975">
            <v>204094</v>
          </cell>
        </row>
        <row r="2976">
          <cell r="D2976">
            <v>204094</v>
          </cell>
        </row>
        <row r="2977">
          <cell r="D2977">
            <v>204094</v>
          </cell>
        </row>
        <row r="2978">
          <cell r="D2978">
            <v>204094</v>
          </cell>
        </row>
        <row r="2979">
          <cell r="D2979">
            <v>204094</v>
          </cell>
        </row>
        <row r="2980">
          <cell r="D2980">
            <v>204095</v>
          </cell>
        </row>
        <row r="2981">
          <cell r="D2981">
            <v>204095</v>
          </cell>
        </row>
        <row r="2982">
          <cell r="D2982">
            <v>204095</v>
          </cell>
        </row>
        <row r="2983">
          <cell r="D2983">
            <v>204095</v>
          </cell>
        </row>
        <row r="2984">
          <cell r="D2984">
            <v>204095</v>
          </cell>
        </row>
        <row r="2985">
          <cell r="D2985">
            <v>204096</v>
          </cell>
        </row>
        <row r="2986">
          <cell r="D2986">
            <v>204096</v>
          </cell>
        </row>
        <row r="2987">
          <cell r="D2987">
            <v>204097</v>
          </cell>
        </row>
        <row r="2988">
          <cell r="D2988">
            <v>204098</v>
          </cell>
        </row>
        <row r="2989">
          <cell r="D2989">
            <v>204099</v>
          </cell>
        </row>
        <row r="2990">
          <cell r="D2990">
            <v>204099</v>
          </cell>
        </row>
        <row r="2991">
          <cell r="D2991">
            <v>204100</v>
          </cell>
        </row>
        <row r="2992">
          <cell r="D2992">
            <v>204101</v>
          </cell>
        </row>
        <row r="2993">
          <cell r="D2993">
            <v>204102</v>
          </cell>
        </row>
        <row r="2994">
          <cell r="D2994">
            <v>204103</v>
          </cell>
        </row>
        <row r="2995">
          <cell r="D2995">
            <v>204104</v>
          </cell>
        </row>
        <row r="2996">
          <cell r="D2996">
            <v>204105</v>
          </cell>
        </row>
        <row r="2997">
          <cell r="D2997">
            <v>204105</v>
          </cell>
        </row>
        <row r="2998">
          <cell r="D2998">
            <v>204105</v>
          </cell>
        </row>
        <row r="2999">
          <cell r="D2999">
            <v>204105</v>
          </cell>
        </row>
        <row r="3000">
          <cell r="D3000">
            <v>204106</v>
          </cell>
        </row>
        <row r="3001">
          <cell r="D3001">
            <v>204107</v>
          </cell>
        </row>
        <row r="3002">
          <cell r="D3002">
            <v>204108</v>
          </cell>
        </row>
        <row r="3003">
          <cell r="D3003">
            <v>204109</v>
          </cell>
        </row>
        <row r="3004">
          <cell r="D3004">
            <v>204110</v>
          </cell>
        </row>
        <row r="3005">
          <cell r="D3005">
            <v>204111</v>
          </cell>
        </row>
        <row r="3006">
          <cell r="D3006">
            <v>204112</v>
          </cell>
        </row>
        <row r="3007">
          <cell r="D3007">
            <v>204113</v>
          </cell>
        </row>
        <row r="3008">
          <cell r="D3008">
            <v>204114</v>
          </cell>
        </row>
        <row r="3009">
          <cell r="D3009">
            <v>204115</v>
          </cell>
        </row>
        <row r="3010">
          <cell r="D3010">
            <v>204116</v>
          </cell>
        </row>
        <row r="3011">
          <cell r="D3011">
            <v>204116</v>
          </cell>
        </row>
        <row r="3012">
          <cell r="D3012">
            <v>204117</v>
          </cell>
        </row>
        <row r="3013">
          <cell r="D3013">
            <v>204117</v>
          </cell>
        </row>
        <row r="3014">
          <cell r="D3014">
            <v>204117</v>
          </cell>
        </row>
        <row r="3015">
          <cell r="D3015">
            <v>204117</v>
          </cell>
        </row>
        <row r="3016">
          <cell r="D3016">
            <v>204118</v>
          </cell>
        </row>
        <row r="3017">
          <cell r="D3017">
            <v>204118</v>
          </cell>
        </row>
        <row r="3018">
          <cell r="D3018">
            <v>204119</v>
          </cell>
        </row>
        <row r="3019">
          <cell r="D3019">
            <v>204119</v>
          </cell>
        </row>
        <row r="3020">
          <cell r="D3020">
            <v>204119</v>
          </cell>
        </row>
        <row r="3021">
          <cell r="D3021">
            <v>204119</v>
          </cell>
        </row>
        <row r="3022">
          <cell r="D3022">
            <v>204120</v>
          </cell>
        </row>
        <row r="3023">
          <cell r="D3023">
            <v>204121</v>
          </cell>
        </row>
        <row r="3024">
          <cell r="D3024">
            <v>204121</v>
          </cell>
        </row>
        <row r="3025">
          <cell r="D3025">
            <v>204121</v>
          </cell>
        </row>
        <row r="3026">
          <cell r="D3026">
            <v>204121</v>
          </cell>
        </row>
        <row r="3027">
          <cell r="D3027">
            <v>204121</v>
          </cell>
        </row>
        <row r="3028">
          <cell r="D3028">
            <v>204121</v>
          </cell>
        </row>
        <row r="3029">
          <cell r="D3029">
            <v>204121</v>
          </cell>
        </row>
        <row r="3030">
          <cell r="D3030">
            <v>204121</v>
          </cell>
        </row>
        <row r="3031">
          <cell r="D3031">
            <v>204122</v>
          </cell>
        </row>
        <row r="3032">
          <cell r="D3032">
            <v>204123</v>
          </cell>
        </row>
        <row r="3033">
          <cell r="D3033">
            <v>204124</v>
          </cell>
        </row>
        <row r="3034">
          <cell r="D3034">
            <v>204124</v>
          </cell>
        </row>
        <row r="3035">
          <cell r="D3035">
            <v>204124</v>
          </cell>
        </row>
        <row r="3036">
          <cell r="D3036">
            <v>204125</v>
          </cell>
        </row>
        <row r="3037">
          <cell r="D3037">
            <v>204126</v>
          </cell>
        </row>
        <row r="3038">
          <cell r="D3038">
            <v>204127</v>
          </cell>
        </row>
        <row r="3039">
          <cell r="D3039">
            <v>204128</v>
          </cell>
        </row>
        <row r="3040">
          <cell r="D3040">
            <v>204129</v>
          </cell>
        </row>
        <row r="3041">
          <cell r="D3041">
            <v>204130</v>
          </cell>
        </row>
        <row r="3042">
          <cell r="D3042">
            <v>204131</v>
          </cell>
        </row>
        <row r="3043">
          <cell r="D3043">
            <v>204132</v>
          </cell>
        </row>
        <row r="3044">
          <cell r="D3044">
            <v>204133</v>
          </cell>
        </row>
        <row r="3045">
          <cell r="D3045">
            <v>204134</v>
          </cell>
        </row>
        <row r="3046">
          <cell r="D3046">
            <v>204134</v>
          </cell>
        </row>
        <row r="3047">
          <cell r="D3047">
            <v>204135</v>
          </cell>
        </row>
        <row r="3048">
          <cell r="D3048">
            <v>204136</v>
          </cell>
        </row>
        <row r="3049">
          <cell r="D3049">
            <v>204136</v>
          </cell>
        </row>
        <row r="3050">
          <cell r="D3050">
            <v>204136</v>
          </cell>
        </row>
        <row r="3051">
          <cell r="D3051">
            <v>204136</v>
          </cell>
        </row>
        <row r="3052">
          <cell r="D3052">
            <v>204137</v>
          </cell>
        </row>
        <row r="3053">
          <cell r="D3053">
            <v>204138</v>
          </cell>
        </row>
        <row r="3054">
          <cell r="D3054">
            <v>204139</v>
          </cell>
        </row>
        <row r="3055">
          <cell r="D3055">
            <v>204140</v>
          </cell>
        </row>
        <row r="3056">
          <cell r="D3056">
            <v>204140</v>
          </cell>
        </row>
        <row r="3057">
          <cell r="D3057">
            <v>204140</v>
          </cell>
        </row>
        <row r="3058">
          <cell r="D3058">
            <v>204140</v>
          </cell>
        </row>
        <row r="3059">
          <cell r="D3059">
            <v>204140</v>
          </cell>
        </row>
        <row r="3060">
          <cell r="D3060">
            <v>204140</v>
          </cell>
        </row>
        <row r="3061">
          <cell r="D3061">
            <v>204140</v>
          </cell>
        </row>
        <row r="3062">
          <cell r="D3062">
            <v>204140</v>
          </cell>
        </row>
        <row r="3063">
          <cell r="D3063">
            <v>204141</v>
          </cell>
        </row>
        <row r="3064">
          <cell r="D3064">
            <v>204141</v>
          </cell>
        </row>
        <row r="3065">
          <cell r="D3065">
            <v>204142</v>
          </cell>
        </row>
        <row r="3066">
          <cell r="D3066">
            <v>204142</v>
          </cell>
        </row>
        <row r="3067">
          <cell r="D3067">
            <v>204142</v>
          </cell>
        </row>
        <row r="3068">
          <cell r="D3068">
            <v>204142</v>
          </cell>
        </row>
        <row r="3069">
          <cell r="D3069">
            <v>204142</v>
          </cell>
        </row>
        <row r="3070">
          <cell r="D3070">
            <v>204142</v>
          </cell>
        </row>
        <row r="3071">
          <cell r="D3071">
            <v>204143</v>
          </cell>
        </row>
        <row r="3072">
          <cell r="D3072">
            <v>204144</v>
          </cell>
        </row>
        <row r="3073">
          <cell r="D3073">
            <v>204145</v>
          </cell>
        </row>
        <row r="3074">
          <cell r="D3074">
            <v>204145</v>
          </cell>
        </row>
        <row r="3075">
          <cell r="D3075">
            <v>204146</v>
          </cell>
        </row>
        <row r="3076">
          <cell r="D3076">
            <v>204146</v>
          </cell>
        </row>
        <row r="3077">
          <cell r="D3077">
            <v>204147</v>
          </cell>
        </row>
        <row r="3078">
          <cell r="D3078">
            <v>204147</v>
          </cell>
        </row>
        <row r="3079">
          <cell r="D3079">
            <v>204148</v>
          </cell>
        </row>
        <row r="3080">
          <cell r="D3080">
            <v>204148</v>
          </cell>
        </row>
        <row r="3081">
          <cell r="D3081">
            <v>204148</v>
          </cell>
        </row>
        <row r="3082">
          <cell r="D3082">
            <v>204148</v>
          </cell>
        </row>
        <row r="3083">
          <cell r="D3083">
            <v>204148</v>
          </cell>
        </row>
        <row r="3084">
          <cell r="D3084">
            <v>204149</v>
          </cell>
        </row>
        <row r="3085">
          <cell r="D3085">
            <v>204149</v>
          </cell>
        </row>
        <row r="3086">
          <cell r="D3086">
            <v>204149</v>
          </cell>
        </row>
        <row r="3087">
          <cell r="D3087">
            <v>204150</v>
          </cell>
        </row>
        <row r="3088">
          <cell r="D3088">
            <v>204150</v>
          </cell>
        </row>
        <row r="3089">
          <cell r="D3089">
            <v>204150</v>
          </cell>
        </row>
        <row r="3090">
          <cell r="D3090">
            <v>204150</v>
          </cell>
        </row>
        <row r="3091">
          <cell r="D3091">
            <v>204150</v>
          </cell>
        </row>
        <row r="3092">
          <cell r="D3092">
            <v>204150</v>
          </cell>
        </row>
        <row r="3093">
          <cell r="D3093">
            <v>204150</v>
          </cell>
        </row>
        <row r="3094">
          <cell r="D3094">
            <v>204150</v>
          </cell>
        </row>
        <row r="3095">
          <cell r="D3095">
            <v>204150</v>
          </cell>
        </row>
        <row r="3096">
          <cell r="D3096">
            <v>204150</v>
          </cell>
        </row>
        <row r="3097">
          <cell r="D3097">
            <v>204150</v>
          </cell>
        </row>
        <row r="3098">
          <cell r="D3098">
            <v>204150</v>
          </cell>
        </row>
        <row r="3099">
          <cell r="D3099">
            <v>204151</v>
          </cell>
        </row>
        <row r="3100">
          <cell r="D3100">
            <v>204152</v>
          </cell>
        </row>
        <row r="3101">
          <cell r="D3101">
            <v>204152</v>
          </cell>
        </row>
        <row r="3102">
          <cell r="D3102">
            <v>204153</v>
          </cell>
        </row>
        <row r="3103">
          <cell r="D3103">
            <v>204154</v>
          </cell>
        </row>
        <row r="3104">
          <cell r="D3104">
            <v>204155</v>
          </cell>
        </row>
        <row r="3105">
          <cell r="D3105">
            <v>204155</v>
          </cell>
        </row>
        <row r="3106">
          <cell r="D3106">
            <v>204156</v>
          </cell>
        </row>
        <row r="3107">
          <cell r="D3107">
            <v>204157</v>
          </cell>
        </row>
        <row r="3108">
          <cell r="D3108">
            <v>204158</v>
          </cell>
        </row>
        <row r="3109">
          <cell r="D3109">
            <v>204158</v>
          </cell>
        </row>
        <row r="3110">
          <cell r="D3110">
            <v>204159</v>
          </cell>
        </row>
        <row r="3111">
          <cell r="D3111">
            <v>204160</v>
          </cell>
        </row>
        <row r="3112">
          <cell r="D3112">
            <v>204161</v>
          </cell>
        </row>
        <row r="3113">
          <cell r="D3113">
            <v>204162</v>
          </cell>
        </row>
        <row r="3114">
          <cell r="D3114">
            <v>204163</v>
          </cell>
        </row>
        <row r="3115">
          <cell r="D3115">
            <v>204163</v>
          </cell>
        </row>
        <row r="3116">
          <cell r="D3116">
            <v>204163</v>
          </cell>
        </row>
        <row r="3117">
          <cell r="D3117">
            <v>204163</v>
          </cell>
        </row>
        <row r="3118">
          <cell r="D3118">
            <v>204163</v>
          </cell>
        </row>
        <row r="3119">
          <cell r="D3119">
            <v>204164</v>
          </cell>
        </row>
        <row r="3120">
          <cell r="D3120">
            <v>204165</v>
          </cell>
        </row>
        <row r="3121">
          <cell r="D3121">
            <v>204166</v>
          </cell>
        </row>
        <row r="3122">
          <cell r="D3122">
            <v>204166</v>
          </cell>
        </row>
        <row r="3123">
          <cell r="D3123">
            <v>204166</v>
          </cell>
        </row>
        <row r="3124">
          <cell r="D3124">
            <v>204166</v>
          </cell>
        </row>
        <row r="3125">
          <cell r="D3125">
            <v>204167</v>
          </cell>
        </row>
        <row r="3126">
          <cell r="D3126">
            <v>204168</v>
          </cell>
        </row>
        <row r="3127">
          <cell r="D3127">
            <v>204169</v>
          </cell>
        </row>
        <row r="3128">
          <cell r="D3128">
            <v>204170</v>
          </cell>
        </row>
        <row r="3129">
          <cell r="D3129">
            <v>204171</v>
          </cell>
        </row>
        <row r="3130">
          <cell r="D3130">
            <v>204172</v>
          </cell>
        </row>
        <row r="3131">
          <cell r="D3131">
            <v>204172</v>
          </cell>
        </row>
        <row r="3132">
          <cell r="D3132">
            <v>204173</v>
          </cell>
        </row>
        <row r="3133">
          <cell r="D3133">
            <v>204174</v>
          </cell>
        </row>
        <row r="3134">
          <cell r="D3134">
            <v>204175</v>
          </cell>
        </row>
        <row r="3135">
          <cell r="D3135">
            <v>204176</v>
          </cell>
        </row>
        <row r="3136">
          <cell r="D3136">
            <v>204177</v>
          </cell>
        </row>
        <row r="3137">
          <cell r="D3137">
            <v>204178</v>
          </cell>
        </row>
        <row r="3138">
          <cell r="D3138">
            <v>204178</v>
          </cell>
        </row>
        <row r="3139">
          <cell r="D3139">
            <v>204179</v>
          </cell>
        </row>
        <row r="3140">
          <cell r="D3140">
            <v>204180</v>
          </cell>
        </row>
        <row r="3141">
          <cell r="D3141">
            <v>204181</v>
          </cell>
        </row>
        <row r="3142">
          <cell r="D3142">
            <v>204182</v>
          </cell>
        </row>
        <row r="3143">
          <cell r="D3143">
            <v>204183</v>
          </cell>
        </row>
        <row r="3144">
          <cell r="D3144">
            <v>204183</v>
          </cell>
        </row>
        <row r="3145">
          <cell r="D3145">
            <v>204184</v>
          </cell>
        </row>
        <row r="3146">
          <cell r="D3146">
            <v>204185</v>
          </cell>
        </row>
        <row r="3147">
          <cell r="D3147">
            <v>204186</v>
          </cell>
        </row>
        <row r="3148">
          <cell r="D3148">
            <v>204186</v>
          </cell>
        </row>
        <row r="3149">
          <cell r="D3149">
            <v>204187</v>
          </cell>
        </row>
        <row r="3150">
          <cell r="D3150">
            <v>204187</v>
          </cell>
        </row>
        <row r="3151">
          <cell r="D3151">
            <v>204188</v>
          </cell>
        </row>
        <row r="3152">
          <cell r="D3152">
            <v>204188</v>
          </cell>
        </row>
        <row r="3153">
          <cell r="D3153">
            <v>204189</v>
          </cell>
        </row>
        <row r="3154">
          <cell r="D3154">
            <v>204190</v>
          </cell>
        </row>
        <row r="3155">
          <cell r="D3155">
            <v>204191</v>
          </cell>
        </row>
        <row r="3156">
          <cell r="D3156">
            <v>204192</v>
          </cell>
        </row>
        <row r="3157">
          <cell r="D3157">
            <v>204192</v>
          </cell>
        </row>
        <row r="3158">
          <cell r="D3158">
            <v>204193</v>
          </cell>
        </row>
        <row r="3159">
          <cell r="D3159">
            <v>204193</v>
          </cell>
        </row>
        <row r="3160">
          <cell r="D3160">
            <v>204194</v>
          </cell>
        </row>
        <row r="3161">
          <cell r="D3161">
            <v>204195</v>
          </cell>
        </row>
        <row r="3162">
          <cell r="D3162">
            <v>204196</v>
          </cell>
        </row>
        <row r="3163">
          <cell r="D3163">
            <v>204197</v>
          </cell>
        </row>
        <row r="3164">
          <cell r="D3164">
            <v>204198</v>
          </cell>
        </row>
        <row r="3165">
          <cell r="D3165">
            <v>204198</v>
          </cell>
        </row>
        <row r="3166">
          <cell r="D3166">
            <v>204198</v>
          </cell>
        </row>
        <row r="3167">
          <cell r="D3167">
            <v>204198</v>
          </cell>
        </row>
        <row r="3168">
          <cell r="D3168">
            <v>204198</v>
          </cell>
        </row>
        <row r="3169">
          <cell r="D3169">
            <v>204199</v>
          </cell>
        </row>
        <row r="3170">
          <cell r="D3170">
            <v>204200</v>
          </cell>
        </row>
        <row r="3171">
          <cell r="D3171">
            <v>204201</v>
          </cell>
        </row>
        <row r="3172">
          <cell r="D3172">
            <v>204201</v>
          </cell>
        </row>
        <row r="3173">
          <cell r="D3173">
            <v>204201</v>
          </cell>
        </row>
        <row r="3174">
          <cell r="D3174">
            <v>204201</v>
          </cell>
        </row>
        <row r="3175">
          <cell r="D3175">
            <v>204202</v>
          </cell>
        </row>
        <row r="3176">
          <cell r="D3176">
            <v>204203</v>
          </cell>
        </row>
        <row r="3177">
          <cell r="D3177">
            <v>204204</v>
          </cell>
        </row>
        <row r="3178">
          <cell r="D3178">
            <v>204204</v>
          </cell>
        </row>
        <row r="3179">
          <cell r="D3179">
            <v>204204</v>
          </cell>
        </row>
        <row r="3180">
          <cell r="D3180">
            <v>204204</v>
          </cell>
        </row>
        <row r="3181">
          <cell r="D3181">
            <v>204204</v>
          </cell>
        </row>
        <row r="3182">
          <cell r="D3182">
            <v>204205</v>
          </cell>
        </row>
        <row r="3183">
          <cell r="D3183">
            <v>204205</v>
          </cell>
        </row>
        <row r="3184">
          <cell r="D3184">
            <v>204206</v>
          </cell>
        </row>
        <row r="3185">
          <cell r="D3185">
            <v>204206</v>
          </cell>
        </row>
        <row r="3186">
          <cell r="D3186">
            <v>204206</v>
          </cell>
        </row>
        <row r="3187">
          <cell r="D3187">
            <v>204206</v>
          </cell>
        </row>
        <row r="3188">
          <cell r="D3188">
            <v>204206</v>
          </cell>
        </row>
        <row r="3189">
          <cell r="D3189">
            <v>204207</v>
          </cell>
        </row>
        <row r="3190">
          <cell r="D3190">
            <v>204207</v>
          </cell>
        </row>
        <row r="3191">
          <cell r="D3191">
            <v>204207</v>
          </cell>
        </row>
        <row r="3192">
          <cell r="D3192">
            <v>204207</v>
          </cell>
        </row>
        <row r="3193">
          <cell r="D3193">
            <v>204208</v>
          </cell>
        </row>
        <row r="3194">
          <cell r="D3194">
            <v>204209</v>
          </cell>
        </row>
        <row r="3195">
          <cell r="D3195">
            <v>204210</v>
          </cell>
        </row>
        <row r="3196">
          <cell r="D3196">
            <v>204211</v>
          </cell>
        </row>
        <row r="3197">
          <cell r="D3197">
            <v>204212</v>
          </cell>
        </row>
        <row r="3198">
          <cell r="D3198">
            <v>204212</v>
          </cell>
        </row>
        <row r="3199">
          <cell r="D3199">
            <v>204213</v>
          </cell>
        </row>
        <row r="3200">
          <cell r="D3200">
            <v>204213</v>
          </cell>
        </row>
        <row r="3201">
          <cell r="D3201">
            <v>204214</v>
          </cell>
        </row>
        <row r="3202">
          <cell r="D3202">
            <v>204215</v>
          </cell>
        </row>
        <row r="3203">
          <cell r="D3203">
            <v>204216</v>
          </cell>
        </row>
        <row r="3204">
          <cell r="D3204">
            <v>204216</v>
          </cell>
        </row>
        <row r="3205">
          <cell r="D3205">
            <v>204217</v>
          </cell>
        </row>
        <row r="3206">
          <cell r="D3206">
            <v>204218</v>
          </cell>
        </row>
        <row r="3207">
          <cell r="D3207">
            <v>204219</v>
          </cell>
        </row>
        <row r="3208">
          <cell r="D3208">
            <v>204219</v>
          </cell>
        </row>
        <row r="3209">
          <cell r="D3209">
            <v>204220</v>
          </cell>
        </row>
        <row r="3210">
          <cell r="D3210">
            <v>204220</v>
          </cell>
        </row>
        <row r="3211">
          <cell r="D3211">
            <v>204220</v>
          </cell>
        </row>
        <row r="3212">
          <cell r="D3212">
            <v>204221</v>
          </cell>
        </row>
        <row r="3213">
          <cell r="D3213">
            <v>204222</v>
          </cell>
        </row>
        <row r="3214">
          <cell r="D3214">
            <v>204223</v>
          </cell>
        </row>
        <row r="3215">
          <cell r="D3215">
            <v>204224</v>
          </cell>
        </row>
        <row r="3216">
          <cell r="D3216">
            <v>204225</v>
          </cell>
        </row>
        <row r="3217">
          <cell r="D3217">
            <v>204226</v>
          </cell>
        </row>
        <row r="3218">
          <cell r="D3218">
            <v>204226</v>
          </cell>
        </row>
        <row r="3219">
          <cell r="D3219">
            <v>204226</v>
          </cell>
        </row>
        <row r="3220">
          <cell r="D3220">
            <v>204226</v>
          </cell>
        </row>
        <row r="3221">
          <cell r="D3221">
            <v>204226</v>
          </cell>
        </row>
        <row r="3222">
          <cell r="D3222">
            <v>204227</v>
          </cell>
        </row>
        <row r="3223">
          <cell r="D3223">
            <v>204228</v>
          </cell>
        </row>
        <row r="3224">
          <cell r="D3224">
            <v>204229</v>
          </cell>
        </row>
        <row r="3225">
          <cell r="D3225">
            <v>204229</v>
          </cell>
        </row>
        <row r="3226">
          <cell r="D3226">
            <v>204229</v>
          </cell>
        </row>
        <row r="3227">
          <cell r="D3227">
            <v>204229</v>
          </cell>
        </row>
        <row r="3228">
          <cell r="D3228">
            <v>204230</v>
          </cell>
        </row>
        <row r="3229">
          <cell r="D3229">
            <v>204230</v>
          </cell>
        </row>
        <row r="3230">
          <cell r="D3230">
            <v>204230</v>
          </cell>
        </row>
        <row r="3231">
          <cell r="D3231">
            <v>204230</v>
          </cell>
        </row>
        <row r="3232">
          <cell r="D3232">
            <v>204230</v>
          </cell>
        </row>
        <row r="3233">
          <cell r="D3233">
            <v>204230</v>
          </cell>
        </row>
        <row r="3234">
          <cell r="D3234">
            <v>204230</v>
          </cell>
        </row>
        <row r="3235">
          <cell r="D3235">
            <v>204230</v>
          </cell>
        </row>
        <row r="3236">
          <cell r="D3236">
            <v>204230</v>
          </cell>
        </row>
        <row r="3237">
          <cell r="D3237">
            <v>204230</v>
          </cell>
        </row>
        <row r="3238">
          <cell r="D3238">
            <v>204230</v>
          </cell>
        </row>
        <row r="3239">
          <cell r="D3239">
            <v>204230</v>
          </cell>
        </row>
        <row r="3240">
          <cell r="D3240">
            <v>204230</v>
          </cell>
        </row>
        <row r="3241">
          <cell r="D3241">
            <v>204230</v>
          </cell>
        </row>
        <row r="3242">
          <cell r="D3242">
            <v>204230</v>
          </cell>
        </row>
        <row r="3243">
          <cell r="D3243">
            <v>204230</v>
          </cell>
        </row>
        <row r="3244">
          <cell r="D3244">
            <v>204230</v>
          </cell>
        </row>
        <row r="3245">
          <cell r="D3245">
            <v>204230</v>
          </cell>
        </row>
        <row r="3246">
          <cell r="D3246">
            <v>204230</v>
          </cell>
        </row>
        <row r="3247">
          <cell r="D3247">
            <v>204231</v>
          </cell>
        </row>
        <row r="3248">
          <cell r="D3248">
            <v>204231</v>
          </cell>
        </row>
        <row r="3249">
          <cell r="D3249">
            <v>204232</v>
          </cell>
        </row>
        <row r="3250">
          <cell r="D3250">
            <v>204232</v>
          </cell>
        </row>
        <row r="3251">
          <cell r="D3251">
            <v>204232</v>
          </cell>
        </row>
        <row r="3252">
          <cell r="D3252">
            <v>204232</v>
          </cell>
        </row>
        <row r="3253">
          <cell r="D3253">
            <v>204232</v>
          </cell>
        </row>
        <row r="3254">
          <cell r="D3254">
            <v>204232</v>
          </cell>
        </row>
        <row r="3255">
          <cell r="D3255">
            <v>204232</v>
          </cell>
        </row>
        <row r="3256">
          <cell r="D3256">
            <v>204232</v>
          </cell>
        </row>
        <row r="3257">
          <cell r="D3257">
            <v>204232</v>
          </cell>
        </row>
        <row r="3258">
          <cell r="D3258">
            <v>204232</v>
          </cell>
        </row>
        <row r="3259">
          <cell r="D3259">
            <v>204232</v>
          </cell>
        </row>
        <row r="3260">
          <cell r="D3260">
            <v>204232</v>
          </cell>
        </row>
        <row r="3261">
          <cell r="D3261">
            <v>204232</v>
          </cell>
        </row>
        <row r="3262">
          <cell r="D3262">
            <v>204232</v>
          </cell>
        </row>
        <row r="3263">
          <cell r="D3263">
            <v>204232</v>
          </cell>
        </row>
        <row r="3264">
          <cell r="D3264">
            <v>204232</v>
          </cell>
        </row>
        <row r="3265">
          <cell r="D3265">
            <v>204232</v>
          </cell>
        </row>
        <row r="3266">
          <cell r="D3266">
            <v>204232</v>
          </cell>
        </row>
        <row r="3267">
          <cell r="D3267">
            <v>204232</v>
          </cell>
        </row>
        <row r="3268">
          <cell r="D3268">
            <v>204232</v>
          </cell>
        </row>
        <row r="3269">
          <cell r="D3269">
            <v>204232</v>
          </cell>
        </row>
        <row r="3270">
          <cell r="D3270">
            <v>204233</v>
          </cell>
        </row>
        <row r="3271">
          <cell r="D3271">
            <v>204234</v>
          </cell>
        </row>
        <row r="3272">
          <cell r="D3272">
            <v>204235</v>
          </cell>
        </row>
        <row r="3273">
          <cell r="D3273">
            <v>204236</v>
          </cell>
        </row>
        <row r="3274">
          <cell r="D3274">
            <v>204237</v>
          </cell>
        </row>
        <row r="3275">
          <cell r="D3275">
            <v>204237</v>
          </cell>
        </row>
        <row r="3276">
          <cell r="D3276">
            <v>204237</v>
          </cell>
        </row>
        <row r="3277">
          <cell r="D3277">
            <v>204238</v>
          </cell>
        </row>
        <row r="3278">
          <cell r="D3278">
            <v>204238</v>
          </cell>
        </row>
        <row r="3279">
          <cell r="D3279">
            <v>204238</v>
          </cell>
        </row>
        <row r="3280">
          <cell r="D3280">
            <v>204239</v>
          </cell>
        </row>
        <row r="3281">
          <cell r="D3281">
            <v>204239</v>
          </cell>
        </row>
        <row r="3282">
          <cell r="D3282">
            <v>204240</v>
          </cell>
        </row>
        <row r="3283">
          <cell r="D3283">
            <v>204240</v>
          </cell>
        </row>
        <row r="3284">
          <cell r="D3284">
            <v>204241</v>
          </cell>
        </row>
        <row r="3285">
          <cell r="D3285">
            <v>204241</v>
          </cell>
        </row>
        <row r="3286">
          <cell r="D3286">
            <v>204242</v>
          </cell>
        </row>
        <row r="3287">
          <cell r="D3287">
            <v>204243</v>
          </cell>
        </row>
        <row r="3288">
          <cell r="D3288">
            <v>204244</v>
          </cell>
        </row>
        <row r="3289">
          <cell r="D3289">
            <v>204245</v>
          </cell>
        </row>
        <row r="3290">
          <cell r="D3290">
            <v>204246</v>
          </cell>
        </row>
        <row r="3291">
          <cell r="D3291">
            <v>204247</v>
          </cell>
        </row>
        <row r="3292">
          <cell r="D3292">
            <v>204248</v>
          </cell>
        </row>
        <row r="3293">
          <cell r="D3293">
            <v>204248</v>
          </cell>
        </row>
        <row r="3294">
          <cell r="D3294">
            <v>204249</v>
          </cell>
        </row>
        <row r="3295">
          <cell r="D3295">
            <v>204250</v>
          </cell>
        </row>
        <row r="3296">
          <cell r="D3296">
            <v>204251</v>
          </cell>
        </row>
        <row r="3297">
          <cell r="D3297">
            <v>204251</v>
          </cell>
        </row>
        <row r="3298">
          <cell r="D3298">
            <v>204252</v>
          </cell>
        </row>
        <row r="3299">
          <cell r="D3299">
            <v>204253</v>
          </cell>
        </row>
        <row r="3300">
          <cell r="D3300">
            <v>204253</v>
          </cell>
        </row>
        <row r="3301">
          <cell r="D3301">
            <v>204253</v>
          </cell>
        </row>
        <row r="3302">
          <cell r="D3302">
            <v>204254</v>
          </cell>
        </row>
        <row r="3303">
          <cell r="D3303">
            <v>204255</v>
          </cell>
        </row>
        <row r="3304">
          <cell r="D3304">
            <v>204255</v>
          </cell>
        </row>
        <row r="3305">
          <cell r="D3305">
            <v>204256</v>
          </cell>
        </row>
        <row r="3306">
          <cell r="D3306">
            <v>204257</v>
          </cell>
        </row>
        <row r="3307">
          <cell r="D3307">
            <v>204257</v>
          </cell>
        </row>
        <row r="3308">
          <cell r="D3308">
            <v>204258</v>
          </cell>
        </row>
        <row r="3309">
          <cell r="D3309">
            <v>204259</v>
          </cell>
        </row>
        <row r="3310">
          <cell r="D3310">
            <v>204260</v>
          </cell>
        </row>
        <row r="3311">
          <cell r="D3311">
            <v>204261</v>
          </cell>
        </row>
        <row r="3312">
          <cell r="D3312">
            <v>204262</v>
          </cell>
        </row>
        <row r="3313">
          <cell r="D3313">
            <v>204263</v>
          </cell>
        </row>
        <row r="3314">
          <cell r="D3314">
            <v>204263</v>
          </cell>
        </row>
        <row r="3315">
          <cell r="D3315">
            <v>204263</v>
          </cell>
        </row>
        <row r="3316">
          <cell r="D3316">
            <v>204264</v>
          </cell>
        </row>
        <row r="3317">
          <cell r="D3317">
            <v>204265</v>
          </cell>
        </row>
        <row r="3318">
          <cell r="D3318">
            <v>204266</v>
          </cell>
        </row>
        <row r="3319">
          <cell r="D3319">
            <v>204266</v>
          </cell>
        </row>
        <row r="3320">
          <cell r="D3320">
            <v>204267</v>
          </cell>
        </row>
        <row r="3321">
          <cell r="D3321">
            <v>204268</v>
          </cell>
        </row>
        <row r="3322">
          <cell r="D3322">
            <v>204268</v>
          </cell>
        </row>
        <row r="3323">
          <cell r="D3323">
            <v>204269</v>
          </cell>
        </row>
        <row r="3324">
          <cell r="D3324">
            <v>204270</v>
          </cell>
        </row>
        <row r="3325">
          <cell r="D3325">
            <v>204270</v>
          </cell>
        </row>
        <row r="3326">
          <cell r="D3326">
            <v>204271</v>
          </cell>
        </row>
        <row r="3327">
          <cell r="D3327">
            <v>204272</v>
          </cell>
        </row>
        <row r="3328">
          <cell r="D3328">
            <v>204273</v>
          </cell>
        </row>
        <row r="3329">
          <cell r="D3329">
            <v>204274</v>
          </cell>
        </row>
        <row r="3330">
          <cell r="D3330">
            <v>204274</v>
          </cell>
        </row>
        <row r="3331">
          <cell r="D3331">
            <v>204275</v>
          </cell>
        </row>
        <row r="3332">
          <cell r="D3332">
            <v>204276</v>
          </cell>
        </row>
        <row r="3333">
          <cell r="D3333">
            <v>204276</v>
          </cell>
        </row>
        <row r="3334">
          <cell r="D3334">
            <v>204277</v>
          </cell>
        </row>
        <row r="3335">
          <cell r="D3335">
            <v>204278</v>
          </cell>
        </row>
        <row r="3336">
          <cell r="D3336">
            <v>204279</v>
          </cell>
        </row>
        <row r="3337">
          <cell r="D3337">
            <v>204280</v>
          </cell>
        </row>
        <row r="3338">
          <cell r="D3338">
            <v>204281</v>
          </cell>
        </row>
        <row r="3339">
          <cell r="D3339">
            <v>204282</v>
          </cell>
        </row>
        <row r="3340">
          <cell r="D3340">
            <v>204283</v>
          </cell>
        </row>
        <row r="3341">
          <cell r="D3341">
            <v>204283</v>
          </cell>
        </row>
        <row r="3342">
          <cell r="D3342">
            <v>204283</v>
          </cell>
        </row>
        <row r="3343">
          <cell r="D3343">
            <v>204284</v>
          </cell>
        </row>
        <row r="3344">
          <cell r="D3344">
            <v>204285</v>
          </cell>
        </row>
        <row r="3345">
          <cell r="D3345">
            <v>204286</v>
          </cell>
        </row>
        <row r="3346">
          <cell r="D3346">
            <v>204287</v>
          </cell>
        </row>
        <row r="3347">
          <cell r="D3347">
            <v>204288</v>
          </cell>
        </row>
        <row r="3348">
          <cell r="D3348">
            <v>204289</v>
          </cell>
        </row>
        <row r="3349">
          <cell r="D3349">
            <v>204289</v>
          </cell>
        </row>
        <row r="3350">
          <cell r="D3350">
            <v>204289</v>
          </cell>
        </row>
        <row r="3351">
          <cell r="D3351">
            <v>204290</v>
          </cell>
        </row>
        <row r="3352">
          <cell r="D3352">
            <v>204291</v>
          </cell>
        </row>
        <row r="3353">
          <cell r="D3353">
            <v>204292</v>
          </cell>
        </row>
        <row r="3354">
          <cell r="D3354">
            <v>204293</v>
          </cell>
        </row>
        <row r="3355">
          <cell r="D3355">
            <v>204293</v>
          </cell>
        </row>
        <row r="3356">
          <cell r="D3356">
            <v>204293</v>
          </cell>
        </row>
        <row r="3357">
          <cell r="D3357">
            <v>204294</v>
          </cell>
        </row>
        <row r="3358">
          <cell r="D3358">
            <v>204294</v>
          </cell>
        </row>
        <row r="3359">
          <cell r="D3359">
            <v>204294</v>
          </cell>
        </row>
        <row r="3360">
          <cell r="D3360">
            <v>204294</v>
          </cell>
        </row>
        <row r="3361">
          <cell r="D3361">
            <v>204295</v>
          </cell>
        </row>
        <row r="3362">
          <cell r="D3362">
            <v>204296</v>
          </cell>
        </row>
        <row r="3363">
          <cell r="D3363">
            <v>204296</v>
          </cell>
        </row>
        <row r="3364">
          <cell r="D3364">
            <v>204296</v>
          </cell>
        </row>
        <row r="3365">
          <cell r="D3365">
            <v>204296</v>
          </cell>
        </row>
        <row r="3366">
          <cell r="D3366">
            <v>204297</v>
          </cell>
        </row>
        <row r="3367">
          <cell r="D3367">
            <v>204297</v>
          </cell>
        </row>
        <row r="3368">
          <cell r="D3368">
            <v>204298</v>
          </cell>
        </row>
        <row r="3369">
          <cell r="D3369">
            <v>204299</v>
          </cell>
        </row>
        <row r="3370">
          <cell r="D3370">
            <v>204299</v>
          </cell>
        </row>
        <row r="3371">
          <cell r="D3371">
            <v>204300</v>
          </cell>
        </row>
        <row r="3372">
          <cell r="D3372">
            <v>204300</v>
          </cell>
        </row>
        <row r="3373">
          <cell r="D3373">
            <v>204300</v>
          </cell>
        </row>
        <row r="3374">
          <cell r="D3374">
            <v>204301</v>
          </cell>
        </row>
        <row r="3375">
          <cell r="D3375">
            <v>204302</v>
          </cell>
        </row>
        <row r="3376">
          <cell r="D3376">
            <v>204302</v>
          </cell>
        </row>
        <row r="3377">
          <cell r="D3377">
            <v>204303</v>
          </cell>
        </row>
        <row r="3378">
          <cell r="D3378">
            <v>204304</v>
          </cell>
        </row>
        <row r="3379">
          <cell r="D3379">
            <v>204305</v>
          </cell>
        </row>
        <row r="3380">
          <cell r="D3380">
            <v>204306</v>
          </cell>
        </row>
        <row r="3381">
          <cell r="D3381">
            <v>204307</v>
          </cell>
        </row>
        <row r="3382">
          <cell r="D3382">
            <v>204307</v>
          </cell>
        </row>
        <row r="3383">
          <cell r="D3383">
            <v>204308</v>
          </cell>
        </row>
        <row r="3384">
          <cell r="D3384">
            <v>204309</v>
          </cell>
        </row>
        <row r="3385">
          <cell r="D3385">
            <v>204309</v>
          </cell>
        </row>
        <row r="3386">
          <cell r="D3386">
            <v>204310</v>
          </cell>
        </row>
        <row r="3387">
          <cell r="D3387">
            <v>204311</v>
          </cell>
        </row>
        <row r="3388">
          <cell r="D3388">
            <v>204311</v>
          </cell>
        </row>
        <row r="3389">
          <cell r="D3389">
            <v>204311</v>
          </cell>
        </row>
        <row r="3390">
          <cell r="D3390">
            <v>204312</v>
          </cell>
        </row>
        <row r="3391">
          <cell r="D3391">
            <v>204313</v>
          </cell>
        </row>
        <row r="3392">
          <cell r="D3392">
            <v>204314</v>
          </cell>
        </row>
        <row r="3393">
          <cell r="D3393">
            <v>204315</v>
          </cell>
        </row>
        <row r="3394">
          <cell r="D3394">
            <v>204316</v>
          </cell>
        </row>
        <row r="3395">
          <cell r="D3395">
            <v>204317</v>
          </cell>
        </row>
        <row r="3396">
          <cell r="D3396">
            <v>204317</v>
          </cell>
        </row>
        <row r="3397">
          <cell r="D3397">
            <v>204317</v>
          </cell>
        </row>
        <row r="3398">
          <cell r="D3398">
            <v>204318</v>
          </cell>
        </row>
        <row r="3399">
          <cell r="D3399">
            <v>204319</v>
          </cell>
        </row>
        <row r="3400">
          <cell r="D3400">
            <v>204320</v>
          </cell>
        </row>
        <row r="3401">
          <cell r="D3401">
            <v>204321</v>
          </cell>
        </row>
        <row r="3402">
          <cell r="D3402">
            <v>204322</v>
          </cell>
        </row>
        <row r="3403">
          <cell r="D3403">
            <v>204323</v>
          </cell>
        </row>
        <row r="3404">
          <cell r="D3404">
            <v>204323</v>
          </cell>
        </row>
        <row r="3405">
          <cell r="D3405">
            <v>204324</v>
          </cell>
        </row>
        <row r="3406">
          <cell r="D3406">
            <v>204325</v>
          </cell>
        </row>
        <row r="3407">
          <cell r="D3407">
            <v>204326</v>
          </cell>
        </row>
        <row r="3408">
          <cell r="D3408">
            <v>204326</v>
          </cell>
        </row>
        <row r="3409">
          <cell r="D3409">
            <v>204326</v>
          </cell>
        </row>
        <row r="3410">
          <cell r="D3410">
            <v>204327</v>
          </cell>
        </row>
        <row r="3411">
          <cell r="D3411">
            <v>204328</v>
          </cell>
        </row>
        <row r="3412">
          <cell r="D3412">
            <v>204329</v>
          </cell>
        </row>
        <row r="3413">
          <cell r="D3413">
            <v>204329</v>
          </cell>
        </row>
        <row r="3414">
          <cell r="D3414">
            <v>204330</v>
          </cell>
        </row>
        <row r="3415">
          <cell r="D3415">
            <v>204330</v>
          </cell>
        </row>
        <row r="3416">
          <cell r="D3416">
            <v>204331</v>
          </cell>
        </row>
        <row r="3417">
          <cell r="D3417">
            <v>204332</v>
          </cell>
        </row>
        <row r="3418">
          <cell r="D3418">
            <v>204332</v>
          </cell>
        </row>
        <row r="3419">
          <cell r="D3419">
            <v>204333</v>
          </cell>
        </row>
        <row r="3420">
          <cell r="D3420">
            <v>204334</v>
          </cell>
        </row>
        <row r="3421">
          <cell r="D3421">
            <v>204335</v>
          </cell>
        </row>
        <row r="3422">
          <cell r="D3422">
            <v>204336</v>
          </cell>
        </row>
        <row r="3423">
          <cell r="D3423">
            <v>204336</v>
          </cell>
        </row>
        <row r="3424">
          <cell r="D3424">
            <v>204337</v>
          </cell>
        </row>
        <row r="3425">
          <cell r="D3425">
            <v>204338</v>
          </cell>
        </row>
        <row r="3426">
          <cell r="D3426">
            <v>204339</v>
          </cell>
        </row>
        <row r="3427">
          <cell r="D3427">
            <v>204339</v>
          </cell>
        </row>
        <row r="3428">
          <cell r="D3428">
            <v>204340</v>
          </cell>
        </row>
        <row r="3429">
          <cell r="D3429">
            <v>204341</v>
          </cell>
        </row>
        <row r="3430">
          <cell r="D3430">
            <v>204342</v>
          </cell>
        </row>
        <row r="3431">
          <cell r="D3431">
            <v>204343</v>
          </cell>
        </row>
        <row r="3432">
          <cell r="D3432">
            <v>204344</v>
          </cell>
        </row>
        <row r="3433">
          <cell r="D3433">
            <v>204345</v>
          </cell>
        </row>
        <row r="3434">
          <cell r="D3434">
            <v>204346</v>
          </cell>
        </row>
        <row r="3435">
          <cell r="D3435">
            <v>204347</v>
          </cell>
        </row>
        <row r="3436">
          <cell r="D3436">
            <v>204348</v>
          </cell>
        </row>
        <row r="3437">
          <cell r="D3437">
            <v>204349</v>
          </cell>
        </row>
        <row r="3438">
          <cell r="D3438">
            <v>204350</v>
          </cell>
        </row>
        <row r="3439">
          <cell r="D3439">
            <v>204350</v>
          </cell>
        </row>
        <row r="3440">
          <cell r="D3440">
            <v>204350</v>
          </cell>
        </row>
        <row r="3441">
          <cell r="D3441">
            <v>204350</v>
          </cell>
        </row>
        <row r="3442">
          <cell r="D3442">
            <v>204350</v>
          </cell>
        </row>
        <row r="3443">
          <cell r="D3443">
            <v>204350</v>
          </cell>
        </row>
        <row r="3444">
          <cell r="D3444">
            <v>204350</v>
          </cell>
        </row>
        <row r="3445">
          <cell r="D3445">
            <v>204350</v>
          </cell>
        </row>
        <row r="3446">
          <cell r="D3446">
            <v>204350</v>
          </cell>
        </row>
        <row r="3447">
          <cell r="D3447">
            <v>204350</v>
          </cell>
        </row>
        <row r="3448">
          <cell r="D3448">
            <v>204350</v>
          </cell>
        </row>
        <row r="3449">
          <cell r="D3449">
            <v>204350</v>
          </cell>
        </row>
        <row r="3450">
          <cell r="D3450">
            <v>204350</v>
          </cell>
        </row>
        <row r="3451">
          <cell r="D3451">
            <v>204351</v>
          </cell>
        </row>
      </sheetData>
      <sheetData sheetId="1"/>
      <sheetData sheetId="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iago Legora de Abreu" id="{1ED47D4C-BBF1-4D7E-BC64-6CBF449E4E27}" userId="S::legora@petrobras.com.br::71e4baf0-f38f-42e1-9f29-8334e0430b3a" providerId="AD"/>
</personList>
</file>

<file path=xl/tables/table1.xml><?xml version="1.0" encoding="utf-8"?>
<table xmlns="http://schemas.openxmlformats.org/spreadsheetml/2006/main" id="1" name="Tabela1" displayName="Tabela1" ref="A1:AC172" totalsRowShown="0" headerRowDxfId="39" headerRowBorderDxfId="38">
  <autoFilter ref="A1:AC172">
    <filterColumn colId="10">
      <filters>
        <filter val="SOBRE_EMP"/>
      </filters>
    </filterColumn>
  </autoFilter>
  <sortState ref="A2:AC172">
    <sortCondition ref="D1:D172"/>
  </sortState>
  <tableColumns count="29">
    <tableColumn id="1" name="Índice" dataDxfId="37"/>
    <tableColumn id="2" name="Grupo de Alienação"/>
    <tableColumn id="3" name="FOTO"/>
    <tableColumn id="4" name="Lote" dataDxfId="36"/>
    <tableColumn id="5" name="AL"/>
    <tableColumn id="6" name="Material" dataDxfId="35"/>
    <tableColumn id="7" name="Descrição do Material"/>
    <tableColumn id="10" name="Centro_x000a_Origem" dataDxfId="34"/>
    <tableColumn id="11" name="Elemento PEP" dataDxfId="33"/>
    <tableColumn id="12" name="Depósito" dataDxfId="32"/>
    <tableColumn id="13" name="Tipo de Avaliação"/>
    <tableColumn id="14" name="Nº de Série"/>
    <tableColumn id="15" name="Quantidade"/>
    <tableColumn id="16" name="Unidade"/>
    <tableColumn id="17" name="Valor Contábil Unitário" dataCellStyle="Moeda"/>
    <tableColumn id="18" name="Valor Contábil Total" dataCellStyle="Moeda">
      <calculatedColumnFormula>Tabela1[[#This Row],[Valor Contábil Unitário]]*Tabela1[[#This Row],[Quantidade]]</calculatedColumnFormula>
    </tableColumn>
    <tableColumn id="19" name="Valor de Reposição Unitário" dataCellStyle="Moeda"/>
    <tableColumn id="20" name="Valor total de Reposição" dataCellStyle="Moeda">
      <calculatedColumnFormula>Tabela1[[#This Row],[Valor de Reposição Unitário]]*Tabela1[[#This Row],[Quantidade]]</calculatedColumnFormula>
    </tableColumn>
    <tableColumn id="21" name="Valor de Comparação com VMA" dataDxfId="31" dataCellStyle="Moeda">
      <calculatedColumnFormula>IF(Tabela1[[#This Row],[Valor Contábil Total]]&gt;Tabela1[[#This Row],[Valor total de Reposição]],Tabela1[[#This Row],[Valor Contábil Total]],Tabela1[[#This Row],[Valor total de Reposição]])</calculatedColumnFormula>
    </tableColumn>
    <tableColumn id="22" name="VMA - Unitário" dataCellStyle="Moeda"/>
    <tableColumn id="23" name="VMA - Total" dataCellStyle="Moeda">
      <calculatedColumnFormula>Tabela1[[#This Row],[VMA - Unitário]]*Tabela1[[#This Row],[Quantidade]]</calculatedColumnFormula>
    </tableColumn>
    <tableColumn id="24" name="VMA total do Lote" dataDxfId="30" dataCellStyle="Moeda">
      <calculatedColumnFormula>INDEX(ResumoLotesSUPERBID[VMA Total do Lote],MATCH(Tabela1[[#This Row],[Lote]],ResumoLotesSUPERBID[LOTES],0))</calculatedColumnFormula>
    </tableColumn>
    <tableColumn id="25" name="Percentual do Item em Relação ao Lote" dataDxfId="29" dataCellStyle="Porcentagem">
      <calculatedColumnFormula>Tabela1[[#This Row],[VMA - Total]]/Tabela1[[#This Row],[VMA total do Lote]]</calculatedColumnFormula>
    </tableColumn>
    <tableColumn id="26" name="Local de Armazenamento"/>
    <tableColumn id="27" name="Fase"/>
    <tableColumn id="28" name="Chave Única Material" dataDxfId="28">
      <calculatedColumnFormula>Tabela1[[#This Row],[Material]]&amp;"-"&amp;Tabela1[[#This Row],[Centro
Origem]]&amp;"-"&amp;Tabela1[[#This Row],[Depósito]]&amp;"-"&amp;Tabela1[[#This Row],[Tipo de Avaliação]]&amp;"-"&amp;Tabela1[[#This Row],[Elemento PEP]]</calculatedColumnFormula>
    </tableColumn>
    <tableColumn id="8" name="STATUS" dataDxfId="27">
      <calculatedColumnFormula>INDEX(ResumoLotesSUPERBID[Sugestão],MATCH(Tabela1[[#This Row],[Lote]],ResumoLotesSUPERBID[LOTES],0))</calculatedColumnFormula>
    </tableColumn>
    <tableColumn id="30" name="VMA / Comparação" dataDxfId="26" dataCellStyle="Porcentagem">
      <calculatedColumnFormula>INDEX(ResumoLotesSUPERBID[VMA / Comparação],MATCH(Tabela1[[#This Row],[Lote]],ResumoLotesSUPERBID[LOTES],0))</calculatedColumnFormula>
    </tableColumn>
    <tableColumn id="9" name="Descrição" dataDxfId="25">
      <calculatedColumnFormula>INDEX(ResumoLotesSUPERBID[Descrição],MATCH(Tabela1[[#This Row],[Lote]],ResumoLotesSUPERBID[LOTES],0))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ResumoLotesSUPERBID" displayName="ResumoLotesSUPERBID" ref="A2:N25" totalsRowCount="1" headerRowDxfId="24">
  <autoFilter ref="A2:N24"/>
  <tableColumns count="14">
    <tableColumn id="1" name="LOTES" totalsRowLabel="Total" dataDxfId="23" totalsRowDxfId="22"/>
    <tableColumn id="9" name="AL" dataDxfId="21" totalsRowDxfId="20">
      <calculatedColumnFormula>INDEX(Tabela1[AL],MATCH(ResumoLotesSUPERBID[[#This Row],[LOTES]],Tabela1[Lote],0))</calculatedColumnFormula>
    </tableColumn>
    <tableColumn id="13" name="TIPO DE AVALIAÇÃO" dataDxfId="19" totalsRowDxfId="18">
      <calculatedColumnFormula>IFERROR(VLOOKUP(ResumoLotesSUPERBID[[#This Row],[LOTES]],SOBRE_EMP!$A:$B,2,0),INDEX('LISTA DOS ITENS'!$K:$K,MATCH(ResumoLotesSUPERBID[[#This Row],[LOTES]],'LISTA DOS ITENS'!D:D,0)))</calculatedColumnFormula>
    </tableColumn>
    <tableColumn id="2" name="Gerência" dataDxfId="17" totalsRowDxfId="16">
      <calculatedColumnFormula>INDEX('LISTA DOS ITENS'!B:B,MATCH(ResumoLotesSUPERBID[[#This Row],[LOTES]],'LISTA DOS ITENS'!D:D,0))</calculatedColumnFormula>
    </tableColumn>
    <tableColumn id="3" name="Valor Contábil Total do Lote" totalsRowFunction="sum" totalsRowDxfId="15" dataCellStyle="Moeda">
      <calculatedColumnFormula>SUMIF(Tabela1[Lote],ResumoLotesSUPERBID[[#This Row],[LOTES]],Tabela1[Valor Contábil Total])</calculatedColumnFormula>
    </tableColumn>
    <tableColumn id="4" name="VMA Total do Lote" totalsRowFunction="sum" totalsRowDxfId="14" dataCellStyle="Moeda">
      <calculatedColumnFormula>SUMIF(Tabela1[Lote],ResumoLotesSUPERBID[[#This Row],[LOTES]],Tabela1[VMA - Total])</calculatedColumnFormula>
    </tableColumn>
    <tableColumn id="5" name="Valor Total de Reposição do Lote" totalsRowFunction="sum" totalsRowDxfId="13" dataCellStyle="Moeda">
      <calculatedColumnFormula>SUMIF(Tabela1[Lote],ResumoLotesSUPERBID[[#This Row],[LOTES]],Tabela1[Valor total de Reposição])</calculatedColumnFormula>
    </tableColumn>
    <tableColumn id="6" name="Valor Comparação VMA do Lote" totalsRowFunction="sum" dataDxfId="12" totalsRowDxfId="11" dataCellStyle="Moeda">
      <calculatedColumnFormula>SUMIF(Tabela1[Lote],ResumoLotesSUPERBID[[#This Row],[LOTES]],Tabela1[Valor de Comparação com VMA])</calculatedColumnFormula>
    </tableColumn>
    <tableColumn id="7" name="Qtd. Linhas do Lote" dataDxfId="10" totalsRowDxfId="9" dataCellStyle="Moeda">
      <calculatedColumnFormula>COUNTIF(Tabela1[Lote],ResumoLotesSUPERBID[[#This Row],[LOTES]])</calculatedColumnFormula>
    </tableColumn>
    <tableColumn id="8" name="VMA / Comparação" dataDxfId="8" totalsRowDxfId="7" dataCellStyle="Porcentagem">
      <calculatedColumnFormula>ResumoLotesSUPERBID[[#This Row],[VMA Total do Lote]]/ResumoLotesSUPERBID[[#This Row],[Valor Comparação VMA do Lote]]</calculatedColumnFormula>
    </tableColumn>
    <tableColumn id="10" name="Lance de Partida" totalsRowFunction="sum" dataDxfId="6" totalsRowDxfId="5" dataCellStyle="Moeda">
      <calculatedColumnFormula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calculatedColumnFormula>
    </tableColumn>
    <tableColumn id="11" name="Descrição" dataDxfId="4" totalsRowDxfId="3">
      <calculatedColumnFormula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calculatedColumnFormula>
    </tableColumn>
    <tableColumn id="12" name="Sugestão" dataDxfId="2" totalsRowDxfId="1">
      <calculatedColumnFormula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calculatedColumnFormula>
    </tableColumn>
    <tableColumn id="16" name="teste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1" dT="2020-07-09T13:52:28.22" personId="{1ED47D4C-BBF1-4D7E-BC64-6CBF449E4E27}" id="{0C4D2308-6517-426C-A8D7-3AB175373AE7}">
    <text>Maior valor total entre contábil e de reposição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C172"/>
  <sheetViews>
    <sheetView tabSelected="1" topLeftCell="D1" zoomScaleNormal="100" workbookViewId="0">
      <pane ySplit="1" topLeftCell="A2" activePane="bottomLeft" state="frozen"/>
      <selection activeCell="K12" sqref="K12"/>
      <selection pane="bottomLeft" activeCell="D1" sqref="D1"/>
    </sheetView>
  </sheetViews>
  <sheetFormatPr defaultRowHeight="15" x14ac:dyDescent="0.25"/>
  <cols>
    <col min="1" max="1" width="11" style="20" hidden="1" customWidth="1"/>
    <col min="2" max="2" width="12.5703125" hidden="1" customWidth="1"/>
    <col min="3" max="3" width="15.7109375" hidden="1" customWidth="1"/>
    <col min="4" max="4" width="9.5703125" style="16" bestFit="1" customWidth="1"/>
    <col min="5" max="5" width="7.28515625" customWidth="1"/>
    <col min="6" max="6" width="10.7109375" style="22" customWidth="1"/>
    <col min="7" max="7" width="42.140625" bestFit="1" customWidth="1"/>
    <col min="8" max="8" width="9.140625" style="6"/>
    <col min="9" max="9" width="20.5703125" style="6" hidden="1" customWidth="1"/>
    <col min="10" max="10" width="11.140625" style="6" hidden="1" customWidth="1"/>
    <col min="11" max="11" width="18.5703125" hidden="1" customWidth="1"/>
    <col min="12" max="12" width="13.28515625" hidden="1" customWidth="1"/>
    <col min="13" max="13" width="12.140625" customWidth="1"/>
    <col min="14" max="14" width="9.140625" customWidth="1"/>
    <col min="15" max="18" width="16.42578125" style="7" hidden="1" customWidth="1"/>
    <col min="19" max="19" width="16.42578125" style="48" hidden="1" customWidth="1"/>
    <col min="20" max="20" width="16.42578125" style="7" hidden="1" customWidth="1"/>
    <col min="21" max="21" width="16.5703125" style="7" hidden="1" customWidth="1"/>
    <col min="22" max="22" width="16.5703125" style="48" hidden="1" customWidth="1"/>
    <col min="23" max="23" width="16.140625" style="47" customWidth="1"/>
    <col min="24" max="24" width="18.5703125" customWidth="1"/>
    <col min="25" max="25" width="0" hidden="1" customWidth="1"/>
    <col min="26" max="26" width="50.7109375" style="43" hidden="1" customWidth="1"/>
    <col min="27" max="27" width="12.28515625" style="49" hidden="1" customWidth="1"/>
    <col min="28" max="28" width="14.28515625" style="45" hidden="1" customWidth="1"/>
    <col min="29" max="29" width="35.28515625" style="50" hidden="1" customWidth="1"/>
  </cols>
  <sheetData>
    <row r="1" spans="1:29" ht="45" x14ac:dyDescent="0.25">
      <c r="A1" s="19" t="s">
        <v>0</v>
      </c>
      <c r="B1" s="8" t="s">
        <v>1</v>
      </c>
      <c r="C1" s="8" t="s">
        <v>41</v>
      </c>
      <c r="D1" s="21" t="s">
        <v>2</v>
      </c>
      <c r="E1" s="8" t="s">
        <v>3</v>
      </c>
      <c r="F1" s="9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10" t="s">
        <v>13</v>
      </c>
      <c r="P1" s="3" t="s">
        <v>14</v>
      </c>
      <c r="Q1" s="2" t="s">
        <v>15</v>
      </c>
      <c r="R1" s="3" t="s">
        <v>16</v>
      </c>
      <c r="S1" s="4" t="s">
        <v>17</v>
      </c>
      <c r="T1" s="2" t="s">
        <v>18</v>
      </c>
      <c r="U1" s="5" t="s">
        <v>19</v>
      </c>
      <c r="V1" s="5" t="s">
        <v>20</v>
      </c>
      <c r="W1" s="46" t="s">
        <v>21</v>
      </c>
      <c r="X1" s="1" t="s">
        <v>22</v>
      </c>
      <c r="Y1" s="1" t="s">
        <v>23</v>
      </c>
      <c r="Z1" s="1" t="s">
        <v>24</v>
      </c>
      <c r="AA1" s="33" t="s">
        <v>34</v>
      </c>
      <c r="AB1" s="44" t="s">
        <v>32</v>
      </c>
      <c r="AC1" s="33" t="s">
        <v>36</v>
      </c>
    </row>
    <row r="2" spans="1:29" x14ac:dyDescent="0.25">
      <c r="A2" s="20" t="s">
        <v>46</v>
      </c>
      <c r="B2" t="s">
        <v>47</v>
      </c>
      <c r="D2" s="16" t="s">
        <v>48</v>
      </c>
      <c r="E2" t="s">
        <v>49</v>
      </c>
      <c r="F2" s="22">
        <v>10972095</v>
      </c>
      <c r="G2" t="s">
        <v>50</v>
      </c>
      <c r="H2" s="6">
        <v>4419</v>
      </c>
      <c r="J2" s="6" t="s">
        <v>382</v>
      </c>
      <c r="K2" t="s">
        <v>383</v>
      </c>
      <c r="M2">
        <v>1</v>
      </c>
      <c r="N2" t="s">
        <v>391</v>
      </c>
      <c r="O2" s="7">
        <v>0</v>
      </c>
      <c r="P2" s="7">
        <f>Tabela1[[#This Row],[Valor Contábil Unitário]]*Tabela1[[#This Row],[Quantidade]]</f>
        <v>0</v>
      </c>
      <c r="Q2" s="7">
        <v>9273.2549999999992</v>
      </c>
      <c r="R2" s="7">
        <f>Tabela1[[#This Row],[Valor de Reposição Unitário]]*Tabela1[[#This Row],[Quantidade]]</f>
        <v>9273.2549999999992</v>
      </c>
      <c r="S2" s="48">
        <f>IF(Tabela1[[#This Row],[Valor Contábil Total]]&gt;Tabela1[[#This Row],[Valor total de Reposição]],Tabela1[[#This Row],[Valor Contábil Total]],Tabela1[[#This Row],[Valor total de Reposição]])</f>
        <v>9273.2549999999992</v>
      </c>
      <c r="T2" s="7">
        <v>333.83717999999993</v>
      </c>
      <c r="U2" s="7">
        <f>Tabela1[[#This Row],[VMA - Unitário]]*Tabela1[[#This Row],[Quantidade]]</f>
        <v>333.83717999999993</v>
      </c>
      <c r="V2" s="48">
        <f>INDEX(ResumoLotesSUPERBID[VMA Total do Lote],MATCH(Tabela1[[#This Row],[Lote]],ResumoLotesSUPERBID[LOTES],0))</f>
        <v>32722.711518857141</v>
      </c>
      <c r="W2" s="57">
        <f>Tabela1[[#This Row],[VMA - Total]]/Tabela1[[#This Row],[VMA total do Lote]]</f>
        <v>1.0202002355691683E-2</v>
      </c>
      <c r="X2" t="s">
        <v>392</v>
      </c>
      <c r="Y2" t="s">
        <v>393</v>
      </c>
      <c r="Z2" s="55" t="str">
        <f>Tabela1[[#This Row],[Material]]&amp;"-"&amp;Tabela1[[#This Row],[Centro
Origem]]&amp;"-"&amp;Tabela1[[#This Row],[Depósito]]&amp;"-"&amp;Tabela1[[#This Row],[Tipo de Avaliação]]&amp;"-"&amp;Tabela1[[#This Row],[Elemento PEP]]</f>
        <v>10972095-4419-JI02-A RECUPER-</v>
      </c>
      <c r="AA2" s="58" t="str">
        <f>INDEX(ResumoLotesSUPERBID[Sugestão],MATCH(Tabela1[[#This Row],[Lote]],ResumoLotesSUPERBID[LOTES],0))</f>
        <v>Para Leilão</v>
      </c>
      <c r="AB2" s="56">
        <f>INDEX(ResumoLotesSUPERBID[VMA / Comparação],MATCH(Tabela1[[#This Row],[Lote]],ResumoLotesSUPERBID[LOTES],0))</f>
        <v>5.704251571662964E-2</v>
      </c>
      <c r="AC2" s="59" t="str">
        <f>INDEX(ResumoLotesSUPERBID[Descrição],MATCH(Tabela1[[#This Row],[Lote]],ResumoLotesSUPERBID[LOTES],0))</f>
        <v>1% do Valor de Comparação do VMA</v>
      </c>
    </row>
    <row r="3" spans="1:29" x14ac:dyDescent="0.25">
      <c r="A3" s="20" t="s">
        <v>51</v>
      </c>
      <c r="B3" t="s">
        <v>47</v>
      </c>
      <c r="D3" s="16" t="s">
        <v>48</v>
      </c>
      <c r="E3" t="s">
        <v>49</v>
      </c>
      <c r="F3" s="22">
        <v>11406890</v>
      </c>
      <c r="G3" t="s">
        <v>52</v>
      </c>
      <c r="H3" s="6">
        <v>4419</v>
      </c>
      <c r="J3" s="6" t="s">
        <v>382</v>
      </c>
      <c r="K3" t="s">
        <v>384</v>
      </c>
      <c r="M3">
        <v>7</v>
      </c>
      <c r="N3" t="s">
        <v>391</v>
      </c>
      <c r="O3" s="7">
        <v>19226.900000000001</v>
      </c>
      <c r="P3" s="7">
        <f>Tabela1[[#This Row],[Valor Contábil Unitário]]*Tabela1[[#This Row],[Quantidade]]</f>
        <v>134588.30000000002</v>
      </c>
      <c r="Q3" s="7">
        <v>2746.7003265306121</v>
      </c>
      <c r="R3" s="7">
        <f>Tabela1[[#This Row],[Valor de Reposição Unitário]]*Tabela1[[#This Row],[Quantidade]]</f>
        <v>19226.902285714285</v>
      </c>
      <c r="S3" s="48">
        <f>IF(Tabela1[[#This Row],[Valor Contábil Total]]&gt;Tabela1[[#This Row],[Valor total de Reposição]],Tabela1[[#This Row],[Valor Contábil Total]],Tabela1[[#This Row],[Valor total de Reposição]])</f>
        <v>134588.30000000002</v>
      </c>
      <c r="T3" s="7">
        <v>296.64363526530605</v>
      </c>
      <c r="U3" s="7">
        <f>Tabela1[[#This Row],[VMA - Unitário]]*Tabela1[[#This Row],[Quantidade]]</f>
        <v>2076.5054468571425</v>
      </c>
      <c r="V3" s="48">
        <f>INDEX(ResumoLotesSUPERBID[VMA Total do Lote],MATCH(Tabela1[[#This Row],[Lote]],ResumoLotesSUPERBID[LOTES],0))</f>
        <v>32722.711518857141</v>
      </c>
      <c r="W3" s="57">
        <f>Tabela1[[#This Row],[VMA - Total]]/Tabela1[[#This Row],[VMA total do Lote]]</f>
        <v>6.3457621647903875E-2</v>
      </c>
      <c r="X3" t="s">
        <v>392</v>
      </c>
      <c r="Y3" t="s">
        <v>393</v>
      </c>
      <c r="Z3" s="55" t="str">
        <f>Tabela1[[#This Row],[Material]]&amp;"-"&amp;Tabela1[[#This Row],[Centro
Origem]]&amp;"-"&amp;Tabela1[[#This Row],[Depósito]]&amp;"-"&amp;Tabela1[[#This Row],[Tipo de Avaliação]]&amp;"-"&amp;Tabela1[[#This Row],[Elemento PEP]]</f>
        <v>11406890-4419-JI02-IMOB/IAMN-</v>
      </c>
      <c r="AA3" s="58" t="str">
        <f>INDEX(ResumoLotesSUPERBID[Sugestão],MATCH(Tabela1[[#This Row],[Lote]],ResumoLotesSUPERBID[LOTES],0))</f>
        <v>Para Leilão</v>
      </c>
      <c r="AB3" s="56">
        <f>INDEX(ResumoLotesSUPERBID[VMA / Comparação],MATCH(Tabela1[[#This Row],[Lote]],ResumoLotesSUPERBID[LOTES],0))</f>
        <v>5.704251571662964E-2</v>
      </c>
      <c r="AC3" s="59" t="str">
        <f>INDEX(ResumoLotesSUPERBID[Descrição],MATCH(Tabela1[[#This Row],[Lote]],ResumoLotesSUPERBID[LOTES],0))</f>
        <v>1% do Valor de Comparação do VMA</v>
      </c>
    </row>
    <row r="4" spans="1:29" x14ac:dyDescent="0.25">
      <c r="A4" s="20" t="s">
        <v>53</v>
      </c>
      <c r="B4" t="s">
        <v>47</v>
      </c>
      <c r="D4" s="16" t="s">
        <v>48</v>
      </c>
      <c r="E4" t="s">
        <v>49</v>
      </c>
      <c r="F4" s="22">
        <v>11406890</v>
      </c>
      <c r="G4" t="s">
        <v>52</v>
      </c>
      <c r="H4" s="6">
        <v>4419</v>
      </c>
      <c r="J4" s="6" t="s">
        <v>382</v>
      </c>
      <c r="K4" t="s">
        <v>384</v>
      </c>
      <c r="M4">
        <v>2</v>
      </c>
      <c r="N4" t="s">
        <v>391</v>
      </c>
      <c r="O4" s="7">
        <v>19226.900000000001</v>
      </c>
      <c r="P4" s="7">
        <f>Tabela1[[#This Row],[Valor Contábil Unitário]]*Tabela1[[#This Row],[Quantidade]]</f>
        <v>38453.800000000003</v>
      </c>
      <c r="Q4" s="7">
        <v>9613.4509999999991</v>
      </c>
      <c r="R4" s="7">
        <f>Tabela1[[#This Row],[Valor de Reposição Unitário]]*Tabela1[[#This Row],[Quantidade]]</f>
        <v>19226.901999999998</v>
      </c>
      <c r="S4" s="48">
        <f>IF(Tabela1[[#This Row],[Valor Contábil Total]]&gt;Tabela1[[#This Row],[Valor total de Reposição]],Tabela1[[#This Row],[Valor Contábil Total]],Tabela1[[#This Row],[Valor total de Reposição]])</f>
        <v>38453.800000000003</v>
      </c>
      <c r="T4" s="7">
        <v>1038.252708</v>
      </c>
      <c r="U4" s="7">
        <f>Tabela1[[#This Row],[VMA - Unitário]]*Tabela1[[#This Row],[Quantidade]]</f>
        <v>2076.505416</v>
      </c>
      <c r="V4" s="48">
        <f>INDEX(ResumoLotesSUPERBID[VMA Total do Lote],MATCH(Tabela1[[#This Row],[Lote]],ResumoLotesSUPERBID[LOTES],0))</f>
        <v>32722.711518857141</v>
      </c>
      <c r="W4" s="57">
        <f>Tabela1[[#This Row],[VMA - Total]]/Tabela1[[#This Row],[VMA total do Lote]]</f>
        <v>6.3457620704915327E-2</v>
      </c>
      <c r="X4" t="s">
        <v>392</v>
      </c>
      <c r="Y4" t="s">
        <v>393</v>
      </c>
      <c r="Z4" s="55" t="str">
        <f>Tabela1[[#This Row],[Material]]&amp;"-"&amp;Tabela1[[#This Row],[Centro
Origem]]&amp;"-"&amp;Tabela1[[#This Row],[Depósito]]&amp;"-"&amp;Tabela1[[#This Row],[Tipo de Avaliação]]&amp;"-"&amp;Tabela1[[#This Row],[Elemento PEP]]</f>
        <v>11406890-4419-JI02-IMOB/IAMN-</v>
      </c>
      <c r="AA4" s="58" t="str">
        <f>INDEX(ResumoLotesSUPERBID[Sugestão],MATCH(Tabela1[[#This Row],[Lote]],ResumoLotesSUPERBID[LOTES],0))</f>
        <v>Para Leilão</v>
      </c>
      <c r="AB4" s="56">
        <f>INDEX(ResumoLotesSUPERBID[VMA / Comparação],MATCH(Tabela1[[#This Row],[Lote]],ResumoLotesSUPERBID[LOTES],0))</f>
        <v>5.704251571662964E-2</v>
      </c>
      <c r="AC4" s="59" t="str">
        <f>INDEX(ResumoLotesSUPERBID[Descrição],MATCH(Tabela1[[#This Row],[Lote]],ResumoLotesSUPERBID[LOTES],0))</f>
        <v>1% do Valor de Comparação do VMA</v>
      </c>
    </row>
    <row r="5" spans="1:29" x14ac:dyDescent="0.25">
      <c r="A5" s="20" t="s">
        <v>54</v>
      </c>
      <c r="B5" t="s">
        <v>47</v>
      </c>
      <c r="D5" s="16" t="s">
        <v>48</v>
      </c>
      <c r="E5" t="s">
        <v>49</v>
      </c>
      <c r="F5" s="22">
        <v>11407262</v>
      </c>
      <c r="G5" t="s">
        <v>55</v>
      </c>
      <c r="H5" s="6">
        <v>4419</v>
      </c>
      <c r="J5" s="6" t="s">
        <v>382</v>
      </c>
      <c r="K5" t="s">
        <v>384</v>
      </c>
      <c r="M5">
        <v>10</v>
      </c>
      <c r="N5" t="s">
        <v>391</v>
      </c>
      <c r="O5" s="7">
        <v>13794.29</v>
      </c>
      <c r="P5" s="7">
        <f>Tabela1[[#This Row],[Valor Contábil Unitário]]*Tabela1[[#This Row],[Quantidade]]</f>
        <v>137942.90000000002</v>
      </c>
      <c r="Q5" s="7">
        <v>1379.4292</v>
      </c>
      <c r="R5" s="7">
        <f>Tabela1[[#This Row],[Valor de Reposição Unitário]]*Tabela1[[#This Row],[Quantidade]]</f>
        <v>13794.292000000001</v>
      </c>
      <c r="S5" s="48">
        <f>IF(Tabela1[[#This Row],[Valor Contábil Total]]&gt;Tabela1[[#This Row],[Valor total de Reposição]],Tabela1[[#This Row],[Valor Contábil Total]],Tabela1[[#This Row],[Valor total de Reposição]])</f>
        <v>137942.90000000002</v>
      </c>
      <c r="T5" s="7">
        <v>86.904039600000004</v>
      </c>
      <c r="U5" s="7">
        <f>Tabela1[[#This Row],[VMA - Unitário]]*Tabela1[[#This Row],[Quantidade]]</f>
        <v>869.0403960000001</v>
      </c>
      <c r="V5" s="48">
        <f>INDEX(ResumoLotesSUPERBID[VMA Total do Lote],MATCH(Tabela1[[#This Row],[Lote]],ResumoLotesSUPERBID[LOTES],0))</f>
        <v>32722.711518857141</v>
      </c>
      <c r="W5" s="57">
        <f>Tabela1[[#This Row],[VMA - Total]]/Tabela1[[#This Row],[VMA total do Lote]]</f>
        <v>2.6557713455353404E-2</v>
      </c>
      <c r="X5" t="s">
        <v>392</v>
      </c>
      <c r="Y5" t="s">
        <v>393</v>
      </c>
      <c r="Z5" s="55" t="str">
        <f>Tabela1[[#This Row],[Material]]&amp;"-"&amp;Tabela1[[#This Row],[Centro
Origem]]&amp;"-"&amp;Tabela1[[#This Row],[Depósito]]&amp;"-"&amp;Tabela1[[#This Row],[Tipo de Avaliação]]&amp;"-"&amp;Tabela1[[#This Row],[Elemento PEP]]</f>
        <v>11407262-4419-JI02-IMOB/IAMN-</v>
      </c>
      <c r="AA5" s="58" t="str">
        <f>INDEX(ResumoLotesSUPERBID[Sugestão],MATCH(Tabela1[[#This Row],[Lote]],ResumoLotesSUPERBID[LOTES],0))</f>
        <v>Para Leilão</v>
      </c>
      <c r="AB5" s="56">
        <f>INDEX(ResumoLotesSUPERBID[VMA / Comparação],MATCH(Tabela1[[#This Row],[Lote]],ResumoLotesSUPERBID[LOTES],0))</f>
        <v>5.704251571662964E-2</v>
      </c>
      <c r="AC5" s="59" t="str">
        <f>INDEX(ResumoLotesSUPERBID[Descrição],MATCH(Tabela1[[#This Row],[Lote]],ResumoLotesSUPERBID[LOTES],0))</f>
        <v>1% do Valor de Comparação do VMA</v>
      </c>
    </row>
    <row r="6" spans="1:29" x14ac:dyDescent="0.25">
      <c r="A6" s="20" t="s">
        <v>56</v>
      </c>
      <c r="B6" t="s">
        <v>47</v>
      </c>
      <c r="D6" s="16" t="s">
        <v>48</v>
      </c>
      <c r="E6" t="s">
        <v>49</v>
      </c>
      <c r="F6" s="22">
        <v>11541386</v>
      </c>
      <c r="G6" t="s">
        <v>57</v>
      </c>
      <c r="H6" s="6">
        <v>4419</v>
      </c>
      <c r="J6" s="6" t="s">
        <v>382</v>
      </c>
      <c r="K6" t="s">
        <v>385</v>
      </c>
      <c r="M6">
        <v>1</v>
      </c>
      <c r="N6" t="s">
        <v>391</v>
      </c>
      <c r="O6" s="7">
        <v>126698.26</v>
      </c>
      <c r="P6" s="7">
        <f>Tabela1[[#This Row],[Valor Contábil Unitário]]*Tabela1[[#This Row],[Quantidade]]</f>
        <v>126698.26</v>
      </c>
      <c r="Q6" s="7">
        <v>126698.26</v>
      </c>
      <c r="R6" s="7">
        <f>Tabela1[[#This Row],[Valor de Reposição Unitário]]*Tabela1[[#This Row],[Quantidade]]</f>
        <v>126698.26</v>
      </c>
      <c r="S6" s="48">
        <f>IF(Tabela1[[#This Row],[Valor Contábil Total]]&gt;Tabela1[[#This Row],[Valor total de Reposição]],Tabela1[[#This Row],[Valor Contábil Total]],Tabela1[[#This Row],[Valor total de Reposição]])</f>
        <v>126698.26</v>
      </c>
      <c r="T6" s="7">
        <v>13683.41208</v>
      </c>
      <c r="U6" s="7">
        <f>Tabela1[[#This Row],[VMA - Unitário]]*Tabela1[[#This Row],[Quantidade]]</f>
        <v>13683.41208</v>
      </c>
      <c r="V6" s="48">
        <f>INDEX(ResumoLotesSUPERBID[VMA Total do Lote],MATCH(Tabela1[[#This Row],[Lote]],ResumoLotesSUPERBID[LOTES],0))</f>
        <v>32722.711518857141</v>
      </c>
      <c r="W6" s="57">
        <f>Tabela1[[#This Row],[VMA - Total]]/Tabela1[[#This Row],[VMA total do Lote]]</f>
        <v>0.4181625374203678</v>
      </c>
      <c r="X6" t="s">
        <v>392</v>
      </c>
      <c r="Y6" t="s">
        <v>393</v>
      </c>
      <c r="Z6" s="55" t="str">
        <f>Tabela1[[#This Row],[Material]]&amp;"-"&amp;Tabela1[[#This Row],[Centro
Origem]]&amp;"-"&amp;Tabela1[[#This Row],[Depósito]]&amp;"-"&amp;Tabela1[[#This Row],[Tipo de Avaliação]]&amp;"-"&amp;Tabela1[[#This Row],[Elemento PEP]]</f>
        <v>11541386-4419-JI02-IMOB/NAC-</v>
      </c>
      <c r="AA6" s="58" t="str">
        <f>INDEX(ResumoLotesSUPERBID[Sugestão],MATCH(Tabela1[[#This Row],[Lote]],ResumoLotesSUPERBID[LOTES],0))</f>
        <v>Para Leilão</v>
      </c>
      <c r="AB6" s="56">
        <f>INDEX(ResumoLotesSUPERBID[VMA / Comparação],MATCH(Tabela1[[#This Row],[Lote]],ResumoLotesSUPERBID[LOTES],0))</f>
        <v>5.704251571662964E-2</v>
      </c>
      <c r="AC6" s="59" t="str">
        <f>INDEX(ResumoLotesSUPERBID[Descrição],MATCH(Tabela1[[#This Row],[Lote]],ResumoLotesSUPERBID[LOTES],0))</f>
        <v>1% do Valor de Comparação do VMA</v>
      </c>
    </row>
    <row r="7" spans="1:29" x14ac:dyDescent="0.25">
      <c r="A7" s="20" t="s">
        <v>58</v>
      </c>
      <c r="B7" t="s">
        <v>47</v>
      </c>
      <c r="D7" s="16" t="s">
        <v>48</v>
      </c>
      <c r="E7" t="s">
        <v>49</v>
      </c>
      <c r="F7" s="22">
        <v>11541386</v>
      </c>
      <c r="G7" t="s">
        <v>57</v>
      </c>
      <c r="H7" s="6">
        <v>4419</v>
      </c>
      <c r="J7" s="6" t="s">
        <v>382</v>
      </c>
      <c r="K7" t="s">
        <v>385</v>
      </c>
      <c r="M7">
        <v>1</v>
      </c>
      <c r="N7" t="s">
        <v>391</v>
      </c>
      <c r="O7" s="7">
        <v>126698.26</v>
      </c>
      <c r="P7" s="7">
        <f>Tabela1[[#This Row],[Valor Contábil Unitário]]*Tabela1[[#This Row],[Quantidade]]</f>
        <v>126698.26</v>
      </c>
      <c r="Q7" s="7">
        <v>126698.25</v>
      </c>
      <c r="R7" s="7">
        <f>Tabela1[[#This Row],[Valor de Reposição Unitário]]*Tabela1[[#This Row],[Quantidade]]</f>
        <v>126698.25</v>
      </c>
      <c r="S7" s="48">
        <f>IF(Tabela1[[#This Row],[Valor Contábil Total]]&gt;Tabela1[[#This Row],[Valor total de Reposição]],Tabela1[[#This Row],[Valor Contábil Total]],Tabela1[[#This Row],[Valor total de Reposição]])</f>
        <v>126698.26</v>
      </c>
      <c r="T7" s="7">
        <v>13683.411</v>
      </c>
      <c r="U7" s="7">
        <f>Tabela1[[#This Row],[VMA - Unitário]]*Tabela1[[#This Row],[Quantidade]]</f>
        <v>13683.411</v>
      </c>
      <c r="V7" s="48">
        <f>INDEX(ResumoLotesSUPERBID[VMA Total do Lote],MATCH(Tabela1[[#This Row],[Lote]],ResumoLotesSUPERBID[LOTES],0))</f>
        <v>32722.711518857141</v>
      </c>
      <c r="W7" s="57">
        <f>Tabela1[[#This Row],[VMA - Total]]/Tabela1[[#This Row],[VMA total do Lote]]</f>
        <v>0.41816250441576797</v>
      </c>
      <c r="X7" t="s">
        <v>392</v>
      </c>
      <c r="Y7" t="s">
        <v>393</v>
      </c>
      <c r="Z7" s="55" t="str">
        <f>Tabela1[[#This Row],[Material]]&amp;"-"&amp;Tabela1[[#This Row],[Centro
Origem]]&amp;"-"&amp;Tabela1[[#This Row],[Depósito]]&amp;"-"&amp;Tabela1[[#This Row],[Tipo de Avaliação]]&amp;"-"&amp;Tabela1[[#This Row],[Elemento PEP]]</f>
        <v>11541386-4419-JI02-IMOB/NAC-</v>
      </c>
      <c r="AA7" s="58" t="str">
        <f>INDEX(ResumoLotesSUPERBID[Sugestão],MATCH(Tabela1[[#This Row],[Lote]],ResumoLotesSUPERBID[LOTES],0))</f>
        <v>Para Leilão</v>
      </c>
      <c r="AB7" s="56">
        <f>INDEX(ResumoLotesSUPERBID[VMA / Comparação],MATCH(Tabela1[[#This Row],[Lote]],ResumoLotesSUPERBID[LOTES],0))</f>
        <v>5.704251571662964E-2</v>
      </c>
      <c r="AC7" s="59" t="str">
        <f>INDEX(ResumoLotesSUPERBID[Descrição],MATCH(Tabela1[[#This Row],[Lote]],ResumoLotesSUPERBID[LOTES],0))</f>
        <v>1% do Valor de Comparação do VMA</v>
      </c>
    </row>
    <row r="8" spans="1:29" x14ac:dyDescent="0.25">
      <c r="A8" s="20" t="s">
        <v>59</v>
      </c>
      <c r="B8" t="s">
        <v>47</v>
      </c>
      <c r="D8" s="16" t="s">
        <v>60</v>
      </c>
      <c r="E8" t="s">
        <v>61</v>
      </c>
      <c r="F8" s="22">
        <v>10965487</v>
      </c>
      <c r="G8" t="s">
        <v>62</v>
      </c>
      <c r="H8" s="6">
        <v>4419</v>
      </c>
      <c r="J8" s="6" t="s">
        <v>386</v>
      </c>
      <c r="K8" t="s">
        <v>383</v>
      </c>
      <c r="M8">
        <v>2</v>
      </c>
      <c r="N8" t="s">
        <v>391</v>
      </c>
      <c r="O8" s="7">
        <v>0</v>
      </c>
      <c r="P8" s="7">
        <f>Tabela1[[#This Row],[Valor Contábil Unitário]]*Tabela1[[#This Row],[Quantidade]]</f>
        <v>0</v>
      </c>
      <c r="Q8" s="7">
        <v>9990.8535000000011</v>
      </c>
      <c r="R8" s="7">
        <f>Tabela1[[#This Row],[Valor de Reposição Unitário]]*Tabela1[[#This Row],[Quantidade]]</f>
        <v>19981.707000000002</v>
      </c>
      <c r="S8" s="48">
        <f>IF(Tabela1[[#This Row],[Valor Contábil Total]]&gt;Tabela1[[#This Row],[Valor total de Reposição]],Tabela1[[#This Row],[Valor Contábil Total]],Tabela1[[#This Row],[Valor total de Reposição]])</f>
        <v>19981.707000000002</v>
      </c>
      <c r="T8" s="7">
        <v>359.670726</v>
      </c>
      <c r="U8" s="7">
        <f>Tabela1[[#This Row],[VMA - Unitário]]*Tabela1[[#This Row],[Quantidade]]</f>
        <v>719.341452</v>
      </c>
      <c r="V8" s="48">
        <f>INDEX(ResumoLotesSUPERBID[VMA Total do Lote],MATCH(Tabela1[[#This Row],[Lote]],ResumoLotesSUPERBID[LOTES],0))</f>
        <v>62961.195670200002</v>
      </c>
      <c r="W8" s="57">
        <f>Tabela1[[#This Row],[VMA - Total]]/Tabela1[[#This Row],[VMA total do Lote]]</f>
        <v>1.1425155515915173E-2</v>
      </c>
      <c r="X8" t="s">
        <v>392</v>
      </c>
      <c r="Y8" t="s">
        <v>393</v>
      </c>
      <c r="Z8" s="55" t="str">
        <f>Tabela1[[#This Row],[Material]]&amp;"-"&amp;Tabela1[[#This Row],[Centro
Origem]]&amp;"-"&amp;Tabela1[[#This Row],[Depósito]]&amp;"-"&amp;Tabela1[[#This Row],[Tipo de Avaliação]]&amp;"-"&amp;Tabela1[[#This Row],[Elemento PEP]]</f>
        <v>10965487-4419-JI01-A RECUPER-</v>
      </c>
      <c r="AA8" s="58" t="str">
        <f>INDEX(ResumoLotesSUPERBID[Sugestão],MATCH(Tabela1[[#This Row],[Lote]],ResumoLotesSUPERBID[LOTES],0))</f>
        <v>Para Leilão</v>
      </c>
      <c r="AB8" s="56">
        <f>INDEX(ResumoLotesSUPERBID[VMA / Comparação],MATCH(Tabela1[[#This Row],[Lote]],ResumoLotesSUPERBID[LOTES],0))</f>
        <v>9.4376838476340347E-2</v>
      </c>
      <c r="AC8" s="59" t="str">
        <f>INDEX(ResumoLotesSUPERBID[Descrição],MATCH(Tabela1[[#This Row],[Lote]],ResumoLotesSUPERBID[LOTES],0))</f>
        <v>1% do Valor de Comparação do VMA</v>
      </c>
    </row>
    <row r="9" spans="1:29" x14ac:dyDescent="0.25">
      <c r="A9" s="20" t="s">
        <v>63</v>
      </c>
      <c r="B9" t="s">
        <v>47</v>
      </c>
      <c r="D9" s="16" t="s">
        <v>60</v>
      </c>
      <c r="E9" t="s">
        <v>61</v>
      </c>
      <c r="F9" s="22">
        <v>10974042</v>
      </c>
      <c r="G9" t="s">
        <v>64</v>
      </c>
      <c r="H9" s="6">
        <v>4419</v>
      </c>
      <c r="J9" s="6" t="s">
        <v>386</v>
      </c>
      <c r="K9" t="s">
        <v>383</v>
      </c>
      <c r="M9">
        <v>1</v>
      </c>
      <c r="N9" t="s">
        <v>391</v>
      </c>
      <c r="O9" s="7">
        <v>1</v>
      </c>
      <c r="P9" s="7">
        <f>Tabela1[[#This Row],[Valor Contábil Unitário]]*Tabela1[[#This Row],[Quantidade]]</f>
        <v>1</v>
      </c>
      <c r="Q9" s="7">
        <v>89700</v>
      </c>
      <c r="R9" s="7">
        <f>Tabela1[[#This Row],[Valor de Reposição Unitário]]*Tabela1[[#This Row],[Quantidade]]</f>
        <v>89700</v>
      </c>
      <c r="S9" s="48">
        <f>IF(Tabela1[[#This Row],[Valor Contábil Total]]&gt;Tabela1[[#This Row],[Valor total de Reposição]],Tabela1[[#This Row],[Valor Contábil Total]],Tabela1[[#This Row],[Valor total de Reposição]])</f>
        <v>89700</v>
      </c>
      <c r="T9" s="7">
        <v>3229.2</v>
      </c>
      <c r="U9" s="7">
        <f>Tabela1[[#This Row],[VMA - Unitário]]*Tabela1[[#This Row],[Quantidade]]</f>
        <v>3229.2</v>
      </c>
      <c r="V9" s="48">
        <f>INDEX(ResumoLotesSUPERBID[VMA Total do Lote],MATCH(Tabela1[[#This Row],[Lote]],ResumoLotesSUPERBID[LOTES],0))</f>
        <v>62961.195670200002</v>
      </c>
      <c r="W9" s="57">
        <f>Tabela1[[#This Row],[VMA - Total]]/Tabela1[[#This Row],[VMA total do Lote]]</f>
        <v>5.1288733729184945E-2</v>
      </c>
      <c r="X9" t="s">
        <v>392</v>
      </c>
      <c r="Y9" t="s">
        <v>393</v>
      </c>
      <c r="Z9" s="55" t="str">
        <f>Tabela1[[#This Row],[Material]]&amp;"-"&amp;Tabela1[[#This Row],[Centro
Origem]]&amp;"-"&amp;Tabela1[[#This Row],[Depósito]]&amp;"-"&amp;Tabela1[[#This Row],[Tipo de Avaliação]]&amp;"-"&amp;Tabela1[[#This Row],[Elemento PEP]]</f>
        <v>10974042-4419-JI01-A RECUPER-</v>
      </c>
      <c r="AA9" s="58" t="str">
        <f>INDEX(ResumoLotesSUPERBID[Sugestão],MATCH(Tabela1[[#This Row],[Lote]],ResumoLotesSUPERBID[LOTES],0))</f>
        <v>Para Leilão</v>
      </c>
      <c r="AB9" s="56">
        <f>INDEX(ResumoLotesSUPERBID[VMA / Comparação],MATCH(Tabela1[[#This Row],[Lote]],ResumoLotesSUPERBID[LOTES],0))</f>
        <v>9.4376838476340347E-2</v>
      </c>
      <c r="AC9" s="59" t="str">
        <f>INDEX(ResumoLotesSUPERBID[Descrição],MATCH(Tabela1[[#This Row],[Lote]],ResumoLotesSUPERBID[LOTES],0))</f>
        <v>1% do Valor de Comparação do VMA</v>
      </c>
    </row>
    <row r="10" spans="1:29" x14ac:dyDescent="0.25">
      <c r="A10" s="20" t="s">
        <v>65</v>
      </c>
      <c r="B10" t="s">
        <v>47</v>
      </c>
      <c r="D10" s="16" t="s">
        <v>60</v>
      </c>
      <c r="E10" t="s">
        <v>61</v>
      </c>
      <c r="F10" s="22">
        <v>11149094</v>
      </c>
      <c r="G10" t="s">
        <v>66</v>
      </c>
      <c r="H10" s="6">
        <v>4419</v>
      </c>
      <c r="J10" s="6" t="s">
        <v>386</v>
      </c>
      <c r="K10" t="s">
        <v>383</v>
      </c>
      <c r="M10">
        <v>1</v>
      </c>
      <c r="N10" t="s">
        <v>391</v>
      </c>
      <c r="O10" s="7">
        <v>0</v>
      </c>
      <c r="P10" s="7">
        <f>Tabela1[[#This Row],[Valor Contábil Unitário]]*Tabela1[[#This Row],[Quantidade]]</f>
        <v>0</v>
      </c>
      <c r="Q10" s="7">
        <v>3761.0920000000001</v>
      </c>
      <c r="R10" s="7">
        <f>Tabela1[[#This Row],[Valor de Reposição Unitário]]*Tabela1[[#This Row],[Quantidade]]</f>
        <v>3761.0920000000001</v>
      </c>
      <c r="S10" s="48">
        <f>IF(Tabela1[[#This Row],[Valor Contábil Total]]&gt;Tabela1[[#This Row],[Valor total de Reposição]],Tabela1[[#This Row],[Valor Contábil Total]],Tabela1[[#This Row],[Valor total de Reposição]])</f>
        <v>3761.0920000000001</v>
      </c>
      <c r="T10" s="7">
        <v>135.39931199999998</v>
      </c>
      <c r="U10" s="7">
        <f>Tabela1[[#This Row],[VMA - Unitário]]*Tabela1[[#This Row],[Quantidade]]</f>
        <v>135.39931199999998</v>
      </c>
      <c r="V10" s="48">
        <f>INDEX(ResumoLotesSUPERBID[VMA Total do Lote],MATCH(Tabela1[[#This Row],[Lote]],ResumoLotesSUPERBID[LOTES],0))</f>
        <v>62961.195670200002</v>
      </c>
      <c r="W10" s="57">
        <f>Tabela1[[#This Row],[VMA - Total]]/Tabela1[[#This Row],[VMA total do Lote]]</f>
        <v>2.1505200236228276E-3</v>
      </c>
      <c r="X10" t="s">
        <v>392</v>
      </c>
      <c r="Y10" t="s">
        <v>393</v>
      </c>
      <c r="Z10" s="55" t="str">
        <f>Tabela1[[#This Row],[Material]]&amp;"-"&amp;Tabela1[[#This Row],[Centro
Origem]]&amp;"-"&amp;Tabela1[[#This Row],[Depósito]]&amp;"-"&amp;Tabela1[[#This Row],[Tipo de Avaliação]]&amp;"-"&amp;Tabela1[[#This Row],[Elemento PEP]]</f>
        <v>11149094-4419-JI01-A RECUPER-</v>
      </c>
      <c r="AA10" s="58" t="str">
        <f>INDEX(ResumoLotesSUPERBID[Sugestão],MATCH(Tabela1[[#This Row],[Lote]],ResumoLotesSUPERBID[LOTES],0))</f>
        <v>Para Leilão</v>
      </c>
      <c r="AB10" s="56">
        <f>INDEX(ResumoLotesSUPERBID[VMA / Comparação],MATCH(Tabela1[[#This Row],[Lote]],ResumoLotesSUPERBID[LOTES],0))</f>
        <v>9.4376838476340347E-2</v>
      </c>
      <c r="AC10" s="59" t="str">
        <f>INDEX(ResumoLotesSUPERBID[Descrição],MATCH(Tabela1[[#This Row],[Lote]],ResumoLotesSUPERBID[LOTES],0))</f>
        <v>1% do Valor de Comparação do VMA</v>
      </c>
    </row>
    <row r="11" spans="1:29" x14ac:dyDescent="0.25">
      <c r="A11" s="20" t="s">
        <v>67</v>
      </c>
      <c r="B11" t="s">
        <v>47</v>
      </c>
      <c r="D11" s="16" t="s">
        <v>60</v>
      </c>
      <c r="E11" t="s">
        <v>61</v>
      </c>
      <c r="F11" s="22">
        <v>10959253</v>
      </c>
      <c r="G11" t="s">
        <v>68</v>
      </c>
      <c r="H11" s="6">
        <v>4419</v>
      </c>
      <c r="J11" s="6" t="s">
        <v>386</v>
      </c>
      <c r="K11" t="s">
        <v>383</v>
      </c>
      <c r="M11">
        <v>1</v>
      </c>
      <c r="N11" t="s">
        <v>391</v>
      </c>
      <c r="O11" s="7">
        <v>0</v>
      </c>
      <c r="P11" s="7">
        <f>Tabela1[[#This Row],[Valor Contábil Unitário]]*Tabela1[[#This Row],[Quantidade]]</f>
        <v>0</v>
      </c>
      <c r="Q11" s="7">
        <v>10580.182200000001</v>
      </c>
      <c r="R11" s="7">
        <f>Tabela1[[#This Row],[Valor de Reposição Unitário]]*Tabela1[[#This Row],[Quantidade]]</f>
        <v>10580.182200000001</v>
      </c>
      <c r="S11" s="48">
        <f>IF(Tabela1[[#This Row],[Valor Contábil Total]]&gt;Tabela1[[#This Row],[Valor total de Reposição]],Tabela1[[#This Row],[Valor Contábil Total]],Tabela1[[#This Row],[Valor total de Reposição]])</f>
        <v>10580.182200000001</v>
      </c>
      <c r="T11" s="7">
        <v>222.18382620000003</v>
      </c>
      <c r="U11" s="7">
        <f>Tabela1[[#This Row],[VMA - Unitário]]*Tabela1[[#This Row],[Quantidade]]</f>
        <v>222.18382620000003</v>
      </c>
      <c r="V11" s="48">
        <f>INDEX(ResumoLotesSUPERBID[VMA Total do Lote],MATCH(Tabela1[[#This Row],[Lote]],ResumoLotesSUPERBID[LOTES],0))</f>
        <v>62961.195670200002</v>
      </c>
      <c r="W11" s="57">
        <f>Tabela1[[#This Row],[VMA - Total]]/Tabela1[[#This Row],[VMA total do Lote]]</f>
        <v>3.528900997430728E-3</v>
      </c>
      <c r="X11" t="s">
        <v>392</v>
      </c>
      <c r="Y11" t="s">
        <v>393</v>
      </c>
      <c r="Z11" s="55" t="str">
        <f>Tabela1[[#This Row],[Material]]&amp;"-"&amp;Tabela1[[#This Row],[Centro
Origem]]&amp;"-"&amp;Tabela1[[#This Row],[Depósito]]&amp;"-"&amp;Tabela1[[#This Row],[Tipo de Avaliação]]&amp;"-"&amp;Tabela1[[#This Row],[Elemento PEP]]</f>
        <v>10959253-4419-JI01-A RECUPER-</v>
      </c>
      <c r="AA11" s="58" t="str">
        <f>INDEX(ResumoLotesSUPERBID[Sugestão],MATCH(Tabela1[[#This Row],[Lote]],ResumoLotesSUPERBID[LOTES],0))</f>
        <v>Para Leilão</v>
      </c>
      <c r="AB11" s="56">
        <f>INDEX(ResumoLotesSUPERBID[VMA / Comparação],MATCH(Tabela1[[#This Row],[Lote]],ResumoLotesSUPERBID[LOTES],0))</f>
        <v>9.4376838476340347E-2</v>
      </c>
      <c r="AC11" s="59" t="str">
        <f>INDEX(ResumoLotesSUPERBID[Descrição],MATCH(Tabela1[[#This Row],[Lote]],ResumoLotesSUPERBID[LOTES],0))</f>
        <v>1% do Valor de Comparação do VMA</v>
      </c>
    </row>
    <row r="12" spans="1:29" x14ac:dyDescent="0.25">
      <c r="A12" s="20" t="s">
        <v>69</v>
      </c>
      <c r="B12" t="s">
        <v>47</v>
      </c>
      <c r="D12" s="16" t="s">
        <v>60</v>
      </c>
      <c r="E12" t="s">
        <v>61</v>
      </c>
      <c r="F12" s="22">
        <v>10974042</v>
      </c>
      <c r="G12" t="s">
        <v>64</v>
      </c>
      <c r="H12" s="6">
        <v>4419</v>
      </c>
      <c r="J12" s="6" t="s">
        <v>386</v>
      </c>
      <c r="K12" t="s">
        <v>383</v>
      </c>
      <c r="M12">
        <v>1</v>
      </c>
      <c r="N12" t="s">
        <v>391</v>
      </c>
      <c r="O12" s="7">
        <v>1</v>
      </c>
      <c r="P12" s="7">
        <f>Tabela1[[#This Row],[Valor Contábil Unitário]]*Tabela1[[#This Row],[Quantidade]]</f>
        <v>1</v>
      </c>
      <c r="Q12" s="7">
        <v>89700</v>
      </c>
      <c r="R12" s="7">
        <f>Tabela1[[#This Row],[Valor de Reposição Unitário]]*Tabela1[[#This Row],[Quantidade]]</f>
        <v>89700</v>
      </c>
      <c r="S12" s="48">
        <f>IF(Tabela1[[#This Row],[Valor Contábil Total]]&gt;Tabela1[[#This Row],[Valor total de Reposição]],Tabela1[[#This Row],[Valor Contábil Total]],Tabela1[[#This Row],[Valor total de Reposição]])</f>
        <v>89700</v>
      </c>
      <c r="T12" s="7">
        <v>9687.6</v>
      </c>
      <c r="U12" s="7">
        <f>Tabela1[[#This Row],[VMA - Unitário]]*Tabela1[[#This Row],[Quantidade]]</f>
        <v>9687.6</v>
      </c>
      <c r="V12" s="48">
        <f>INDEX(ResumoLotesSUPERBID[VMA Total do Lote],MATCH(Tabela1[[#This Row],[Lote]],ResumoLotesSUPERBID[LOTES],0))</f>
        <v>62961.195670200002</v>
      </c>
      <c r="W12" s="57">
        <f>Tabela1[[#This Row],[VMA - Total]]/Tabela1[[#This Row],[VMA total do Lote]]</f>
        <v>0.15386620118755484</v>
      </c>
      <c r="X12" t="s">
        <v>392</v>
      </c>
      <c r="Y12" t="s">
        <v>393</v>
      </c>
      <c r="Z12" s="55" t="str">
        <f>Tabela1[[#This Row],[Material]]&amp;"-"&amp;Tabela1[[#This Row],[Centro
Origem]]&amp;"-"&amp;Tabela1[[#This Row],[Depósito]]&amp;"-"&amp;Tabela1[[#This Row],[Tipo de Avaliação]]&amp;"-"&amp;Tabela1[[#This Row],[Elemento PEP]]</f>
        <v>10974042-4419-JI01-A RECUPER-</v>
      </c>
      <c r="AA12" s="58" t="str">
        <f>INDEX(ResumoLotesSUPERBID[Sugestão],MATCH(Tabela1[[#This Row],[Lote]],ResumoLotesSUPERBID[LOTES],0))</f>
        <v>Para Leilão</v>
      </c>
      <c r="AB12" s="56">
        <f>INDEX(ResumoLotesSUPERBID[VMA / Comparação],MATCH(Tabela1[[#This Row],[Lote]],ResumoLotesSUPERBID[LOTES],0))</f>
        <v>9.4376838476340347E-2</v>
      </c>
      <c r="AC12" s="59" t="str">
        <f>INDEX(ResumoLotesSUPERBID[Descrição],MATCH(Tabela1[[#This Row],[Lote]],ResumoLotesSUPERBID[LOTES],0))</f>
        <v>1% do Valor de Comparação do VMA</v>
      </c>
    </row>
    <row r="13" spans="1:29" x14ac:dyDescent="0.25">
      <c r="A13" s="20" t="s">
        <v>70</v>
      </c>
      <c r="B13" t="s">
        <v>47</v>
      </c>
      <c r="D13" s="16" t="s">
        <v>60</v>
      </c>
      <c r="E13" t="s">
        <v>61</v>
      </c>
      <c r="F13" s="22">
        <v>11546143</v>
      </c>
      <c r="G13" t="s">
        <v>64</v>
      </c>
      <c r="H13" s="6">
        <v>4419</v>
      </c>
      <c r="J13" s="6" t="s">
        <v>386</v>
      </c>
      <c r="K13" t="s">
        <v>385</v>
      </c>
      <c r="M13">
        <v>1</v>
      </c>
      <c r="N13" t="s">
        <v>391</v>
      </c>
      <c r="O13" s="7">
        <v>226701.26</v>
      </c>
      <c r="P13" s="7">
        <f>Tabela1[[#This Row],[Valor Contábil Unitário]]*Tabela1[[#This Row],[Quantidade]]</f>
        <v>226701.26</v>
      </c>
      <c r="Q13" s="7">
        <v>226701.255</v>
      </c>
      <c r="R13" s="7">
        <f>Tabela1[[#This Row],[Valor de Reposição Unitário]]*Tabela1[[#This Row],[Quantidade]]</f>
        <v>226701.255</v>
      </c>
      <c r="S13" s="48">
        <f>IF(Tabela1[[#This Row],[Valor Contábil Total]]&gt;Tabela1[[#This Row],[Valor total de Reposição]],Tabela1[[#This Row],[Valor Contábil Total]],Tabela1[[#This Row],[Valor total de Reposição]])</f>
        <v>226701.26</v>
      </c>
      <c r="T13" s="7">
        <v>24483.735540000001</v>
      </c>
      <c r="U13" s="7">
        <f>Tabela1[[#This Row],[VMA - Unitário]]*Tabela1[[#This Row],[Quantidade]]</f>
        <v>24483.735540000001</v>
      </c>
      <c r="V13" s="48">
        <f>INDEX(ResumoLotesSUPERBID[VMA Total do Lote],MATCH(Tabela1[[#This Row],[Lote]],ResumoLotesSUPERBID[LOTES],0))</f>
        <v>62961.195670200002</v>
      </c>
      <c r="W13" s="57">
        <f>Tabela1[[#This Row],[VMA - Total]]/Tabela1[[#This Row],[VMA total do Lote]]</f>
        <v>0.38887024427314576</v>
      </c>
      <c r="X13" t="s">
        <v>392</v>
      </c>
      <c r="Y13" t="s">
        <v>393</v>
      </c>
      <c r="Z13" s="55" t="str">
        <f>Tabela1[[#This Row],[Material]]&amp;"-"&amp;Tabela1[[#This Row],[Centro
Origem]]&amp;"-"&amp;Tabela1[[#This Row],[Depósito]]&amp;"-"&amp;Tabela1[[#This Row],[Tipo de Avaliação]]&amp;"-"&amp;Tabela1[[#This Row],[Elemento PEP]]</f>
        <v>11546143-4419-JI01-IMOB/NAC-</v>
      </c>
      <c r="AA13" s="58" t="str">
        <f>INDEX(ResumoLotesSUPERBID[Sugestão],MATCH(Tabela1[[#This Row],[Lote]],ResumoLotesSUPERBID[LOTES],0))</f>
        <v>Para Leilão</v>
      </c>
      <c r="AB13" s="56">
        <f>INDEX(ResumoLotesSUPERBID[VMA / Comparação],MATCH(Tabela1[[#This Row],[Lote]],ResumoLotesSUPERBID[LOTES],0))</f>
        <v>9.4376838476340347E-2</v>
      </c>
      <c r="AC13" s="59" t="str">
        <f>INDEX(ResumoLotesSUPERBID[Descrição],MATCH(Tabela1[[#This Row],[Lote]],ResumoLotesSUPERBID[LOTES],0))</f>
        <v>1% do Valor de Comparação do VMA</v>
      </c>
    </row>
    <row r="14" spans="1:29" x14ac:dyDescent="0.25">
      <c r="A14" s="20" t="s">
        <v>71</v>
      </c>
      <c r="B14" t="s">
        <v>47</v>
      </c>
      <c r="D14" s="16" t="s">
        <v>60</v>
      </c>
      <c r="E14" t="s">
        <v>61</v>
      </c>
      <c r="F14" s="22">
        <v>11546143</v>
      </c>
      <c r="G14" t="s">
        <v>64</v>
      </c>
      <c r="H14" s="6">
        <v>4419</v>
      </c>
      <c r="J14" s="6" t="s">
        <v>386</v>
      </c>
      <c r="K14" t="s">
        <v>385</v>
      </c>
      <c r="M14">
        <v>1</v>
      </c>
      <c r="N14" t="s">
        <v>391</v>
      </c>
      <c r="O14" s="7">
        <v>226701.26</v>
      </c>
      <c r="P14" s="7">
        <f>Tabela1[[#This Row],[Valor Contábil Unitário]]*Tabela1[[#This Row],[Quantidade]]</f>
        <v>226701.26</v>
      </c>
      <c r="Q14" s="7">
        <v>226701.255</v>
      </c>
      <c r="R14" s="7">
        <f>Tabela1[[#This Row],[Valor de Reposição Unitário]]*Tabela1[[#This Row],[Quantidade]]</f>
        <v>226701.255</v>
      </c>
      <c r="S14" s="48">
        <f>IF(Tabela1[[#This Row],[Valor Contábil Total]]&gt;Tabela1[[#This Row],[Valor total de Reposição]],Tabela1[[#This Row],[Valor Contábil Total]],Tabela1[[#This Row],[Valor total de Reposição]])</f>
        <v>226701.26</v>
      </c>
      <c r="T14" s="7">
        <v>24483.735540000001</v>
      </c>
      <c r="U14" s="7">
        <f>Tabela1[[#This Row],[VMA - Unitário]]*Tabela1[[#This Row],[Quantidade]]</f>
        <v>24483.735540000001</v>
      </c>
      <c r="V14" s="48">
        <f>INDEX(ResumoLotesSUPERBID[VMA Total do Lote],MATCH(Tabela1[[#This Row],[Lote]],ResumoLotesSUPERBID[LOTES],0))</f>
        <v>62961.195670200002</v>
      </c>
      <c r="W14" s="57">
        <f>Tabela1[[#This Row],[VMA - Total]]/Tabela1[[#This Row],[VMA total do Lote]]</f>
        <v>0.38887024427314576</v>
      </c>
      <c r="X14" t="s">
        <v>392</v>
      </c>
      <c r="Y14" t="s">
        <v>393</v>
      </c>
      <c r="Z14" s="55" t="str">
        <f>Tabela1[[#This Row],[Material]]&amp;"-"&amp;Tabela1[[#This Row],[Centro
Origem]]&amp;"-"&amp;Tabela1[[#This Row],[Depósito]]&amp;"-"&amp;Tabela1[[#This Row],[Tipo de Avaliação]]&amp;"-"&amp;Tabela1[[#This Row],[Elemento PEP]]</f>
        <v>11546143-4419-JI01-IMOB/NAC-</v>
      </c>
      <c r="AA14" s="58" t="str">
        <f>INDEX(ResumoLotesSUPERBID[Sugestão],MATCH(Tabela1[[#This Row],[Lote]],ResumoLotesSUPERBID[LOTES],0))</f>
        <v>Para Leilão</v>
      </c>
      <c r="AB14" s="56">
        <f>INDEX(ResumoLotesSUPERBID[VMA / Comparação],MATCH(Tabela1[[#This Row],[Lote]],ResumoLotesSUPERBID[LOTES],0))</f>
        <v>9.4376838476340347E-2</v>
      </c>
      <c r="AC14" s="59" t="str">
        <f>INDEX(ResumoLotesSUPERBID[Descrição],MATCH(Tabela1[[#This Row],[Lote]],ResumoLotesSUPERBID[LOTES],0))</f>
        <v>1% do Valor de Comparação do VMA</v>
      </c>
    </row>
    <row r="15" spans="1:29" x14ac:dyDescent="0.25">
      <c r="A15" s="20" t="s">
        <v>72</v>
      </c>
      <c r="B15" t="s">
        <v>47</v>
      </c>
      <c r="D15" s="16" t="s">
        <v>73</v>
      </c>
      <c r="E15" t="s">
        <v>61</v>
      </c>
      <c r="F15" s="22">
        <v>11101415</v>
      </c>
      <c r="G15" t="s">
        <v>74</v>
      </c>
      <c r="H15" s="6">
        <v>4419</v>
      </c>
      <c r="J15" s="6" t="s">
        <v>386</v>
      </c>
      <c r="K15" t="s">
        <v>385</v>
      </c>
      <c r="M15">
        <v>3224</v>
      </c>
      <c r="N15" t="s">
        <v>391</v>
      </c>
      <c r="O15" s="7">
        <v>223.92</v>
      </c>
      <c r="P15" s="7">
        <f>Tabela1[[#This Row],[Valor Contábil Unitário]]*Tabela1[[#This Row],[Quantidade]]</f>
        <v>721918.08</v>
      </c>
      <c r="Q15" s="7">
        <v>223.91780707196031</v>
      </c>
      <c r="R15" s="7">
        <f>Tabela1[[#This Row],[Valor de Reposição Unitário]]*Tabela1[[#This Row],[Quantidade]]</f>
        <v>721911.01</v>
      </c>
      <c r="S15" s="48">
        <f>IF(Tabela1[[#This Row],[Valor Contábil Total]]&gt;Tabela1[[#This Row],[Valor total de Reposição]],Tabela1[[#This Row],[Valor Contábil Total]],Tabela1[[#This Row],[Valor total de Reposição]])</f>
        <v>721918.08</v>
      </c>
      <c r="T15" s="7">
        <v>35.26705461383375</v>
      </c>
      <c r="U15" s="7">
        <f>Tabela1[[#This Row],[VMA - Unitário]]*Tabela1[[#This Row],[Quantidade]]</f>
        <v>113700.98407500001</v>
      </c>
      <c r="V15" s="48">
        <f>INDEX(ResumoLotesSUPERBID[VMA Total do Lote],MATCH(Tabela1[[#This Row],[Lote]],ResumoLotesSUPERBID[LOTES],0))</f>
        <v>194633.688375</v>
      </c>
      <c r="W15" s="57">
        <f>Tabela1[[#This Row],[VMA - Total]]/Tabela1[[#This Row],[VMA total do Lote]]</f>
        <v>0.58417936290624439</v>
      </c>
      <c r="X15" t="s">
        <v>392</v>
      </c>
      <c r="Y15" t="s">
        <v>393</v>
      </c>
      <c r="Z15" s="55" t="str">
        <f>Tabela1[[#This Row],[Material]]&amp;"-"&amp;Tabela1[[#This Row],[Centro
Origem]]&amp;"-"&amp;Tabela1[[#This Row],[Depósito]]&amp;"-"&amp;Tabela1[[#This Row],[Tipo de Avaliação]]&amp;"-"&amp;Tabela1[[#This Row],[Elemento PEP]]</f>
        <v>11101415-4419-JI01-IMOB/NAC-</v>
      </c>
      <c r="AA15" s="58" t="str">
        <f>INDEX(ResumoLotesSUPERBID[Sugestão],MATCH(Tabela1[[#This Row],[Lote]],ResumoLotesSUPERBID[LOTES],0))</f>
        <v>Para Leilão</v>
      </c>
      <c r="AB15" s="56">
        <f>INDEX(ResumoLotesSUPERBID[VMA / Comparação],MATCH(Tabela1[[#This Row],[Lote]],ResumoLotesSUPERBID[LOTES],0))</f>
        <v>0.15234446044127942</v>
      </c>
      <c r="AC15" s="59" t="str">
        <f>INDEX(ResumoLotesSUPERBID[Descrição],MATCH(Tabela1[[#This Row],[Lote]],ResumoLotesSUPERBID[LOTES],0))</f>
        <v>1% do Valor de Comparação do VMA</v>
      </c>
    </row>
    <row r="16" spans="1:29" x14ac:dyDescent="0.25">
      <c r="A16" s="20" t="s">
        <v>75</v>
      </c>
      <c r="B16" t="s">
        <v>47</v>
      </c>
      <c r="D16" s="16" t="s">
        <v>73</v>
      </c>
      <c r="E16" t="s">
        <v>61</v>
      </c>
      <c r="F16" s="22">
        <v>11101414</v>
      </c>
      <c r="G16" t="s">
        <v>76</v>
      </c>
      <c r="H16" s="6">
        <v>4419</v>
      </c>
      <c r="J16" s="6" t="s">
        <v>386</v>
      </c>
      <c r="K16" t="s">
        <v>385</v>
      </c>
      <c r="M16">
        <v>1960</v>
      </c>
      <c r="N16" t="s">
        <v>391</v>
      </c>
      <c r="O16" s="7">
        <v>221.86</v>
      </c>
      <c r="P16" s="7">
        <f>Tabela1[[#This Row],[Valor Contábil Unitário]]*Tabela1[[#This Row],[Quantidade]]</f>
        <v>434845.60000000003</v>
      </c>
      <c r="Q16" s="7">
        <v>221.86185714285713</v>
      </c>
      <c r="R16" s="7">
        <f>Tabela1[[#This Row],[Valor de Reposição Unitário]]*Tabela1[[#This Row],[Quantidade]]</f>
        <v>434849.24</v>
      </c>
      <c r="S16" s="48">
        <f>IF(Tabela1[[#This Row],[Valor Contábil Total]]&gt;Tabela1[[#This Row],[Valor total de Reposição]],Tabela1[[#This Row],[Valor Contábil Total]],Tabela1[[#This Row],[Valor total de Reposição]])</f>
        <v>434849.24</v>
      </c>
      <c r="T16" s="7">
        <v>34.943242500000004</v>
      </c>
      <c r="U16" s="7">
        <f>Tabela1[[#This Row],[VMA - Unitário]]*Tabela1[[#This Row],[Quantidade]]</f>
        <v>68488.755300000004</v>
      </c>
      <c r="V16" s="48">
        <f>INDEX(ResumoLotesSUPERBID[VMA Total do Lote],MATCH(Tabela1[[#This Row],[Lote]],ResumoLotesSUPERBID[LOTES],0))</f>
        <v>194633.688375</v>
      </c>
      <c r="W16" s="57">
        <f>Tabela1[[#This Row],[VMA - Total]]/Tabela1[[#This Row],[VMA total do Lote]]</f>
        <v>0.35188541034090137</v>
      </c>
      <c r="X16" t="s">
        <v>392</v>
      </c>
      <c r="Y16" t="s">
        <v>393</v>
      </c>
      <c r="Z16" s="55" t="str">
        <f>Tabela1[[#This Row],[Material]]&amp;"-"&amp;Tabela1[[#This Row],[Centro
Origem]]&amp;"-"&amp;Tabela1[[#This Row],[Depósito]]&amp;"-"&amp;Tabela1[[#This Row],[Tipo de Avaliação]]&amp;"-"&amp;Tabela1[[#This Row],[Elemento PEP]]</f>
        <v>11101414-4419-JI01-IMOB/NAC-</v>
      </c>
      <c r="AA16" s="58" t="str">
        <f>INDEX(ResumoLotesSUPERBID[Sugestão],MATCH(Tabela1[[#This Row],[Lote]],ResumoLotesSUPERBID[LOTES],0))</f>
        <v>Para Leilão</v>
      </c>
      <c r="AB16" s="56">
        <f>INDEX(ResumoLotesSUPERBID[VMA / Comparação],MATCH(Tabela1[[#This Row],[Lote]],ResumoLotesSUPERBID[LOTES],0))</f>
        <v>0.15234446044127942</v>
      </c>
      <c r="AC16" s="59" t="str">
        <f>INDEX(ResumoLotesSUPERBID[Descrição],MATCH(Tabela1[[#This Row],[Lote]],ResumoLotesSUPERBID[LOTES],0))</f>
        <v>1% do Valor de Comparação do VMA</v>
      </c>
    </row>
    <row r="17" spans="1:29" x14ac:dyDescent="0.25">
      <c r="A17" s="20" t="s">
        <v>77</v>
      </c>
      <c r="B17" t="s">
        <v>47</v>
      </c>
      <c r="D17" s="16" t="s">
        <v>73</v>
      </c>
      <c r="E17" t="s">
        <v>61</v>
      </c>
      <c r="F17" s="22">
        <v>11101413</v>
      </c>
      <c r="G17" t="s">
        <v>78</v>
      </c>
      <c r="H17" s="6">
        <v>4419</v>
      </c>
      <c r="J17" s="6" t="s">
        <v>386</v>
      </c>
      <c r="K17" t="s">
        <v>385</v>
      </c>
      <c r="M17">
        <v>404</v>
      </c>
      <c r="N17" t="s">
        <v>391</v>
      </c>
      <c r="O17" s="7">
        <v>193.77</v>
      </c>
      <c r="P17" s="7">
        <f>Tabela1[[#This Row],[Valor Contábil Unitário]]*Tabela1[[#This Row],[Quantidade]]</f>
        <v>78283.08</v>
      </c>
      <c r="Q17" s="7">
        <v>193.77242574257426</v>
      </c>
      <c r="R17" s="7">
        <f>Tabela1[[#This Row],[Valor de Reposição Unitário]]*Tabela1[[#This Row],[Quantidade]]</f>
        <v>78284.06</v>
      </c>
      <c r="S17" s="48">
        <f>IF(Tabela1[[#This Row],[Valor Contábil Total]]&gt;Tabela1[[#This Row],[Valor total de Reposição]],Tabela1[[#This Row],[Valor Contábil Total]],Tabela1[[#This Row],[Valor total de Reposição]])</f>
        <v>78284.06</v>
      </c>
      <c r="T17" s="7">
        <v>30.519157054455444</v>
      </c>
      <c r="U17" s="7">
        <f>Tabela1[[#This Row],[VMA - Unitário]]*Tabela1[[#This Row],[Quantidade]]</f>
        <v>12329.739449999999</v>
      </c>
      <c r="V17" s="48">
        <f>INDEX(ResumoLotesSUPERBID[VMA Total do Lote],MATCH(Tabela1[[#This Row],[Lote]],ResumoLotesSUPERBID[LOTES],0))</f>
        <v>194633.688375</v>
      </c>
      <c r="W17" s="57">
        <f>Tabela1[[#This Row],[VMA - Total]]/Tabela1[[#This Row],[VMA total do Lote]]</f>
        <v>6.3348434451102512E-2</v>
      </c>
      <c r="X17" t="s">
        <v>392</v>
      </c>
      <c r="Y17" t="s">
        <v>393</v>
      </c>
      <c r="Z17" s="55" t="str">
        <f>Tabela1[[#This Row],[Material]]&amp;"-"&amp;Tabela1[[#This Row],[Centro
Origem]]&amp;"-"&amp;Tabela1[[#This Row],[Depósito]]&amp;"-"&amp;Tabela1[[#This Row],[Tipo de Avaliação]]&amp;"-"&amp;Tabela1[[#This Row],[Elemento PEP]]</f>
        <v>11101413-4419-JI01-IMOB/NAC-</v>
      </c>
      <c r="AA17" s="58" t="str">
        <f>INDEX(ResumoLotesSUPERBID[Sugestão],MATCH(Tabela1[[#This Row],[Lote]],ResumoLotesSUPERBID[LOTES],0))</f>
        <v>Para Leilão</v>
      </c>
      <c r="AB17" s="56">
        <f>INDEX(ResumoLotesSUPERBID[VMA / Comparação],MATCH(Tabela1[[#This Row],[Lote]],ResumoLotesSUPERBID[LOTES],0))</f>
        <v>0.15234446044127942</v>
      </c>
      <c r="AC17" s="59" t="str">
        <f>INDEX(ResumoLotesSUPERBID[Descrição],MATCH(Tabela1[[#This Row],[Lote]],ResumoLotesSUPERBID[LOTES],0))</f>
        <v>1% do Valor de Comparação do VMA</v>
      </c>
    </row>
    <row r="18" spans="1:29" x14ac:dyDescent="0.25">
      <c r="A18" s="20" t="s">
        <v>79</v>
      </c>
      <c r="B18" t="s">
        <v>47</v>
      </c>
      <c r="D18" s="16" t="s">
        <v>73</v>
      </c>
      <c r="E18" t="s">
        <v>61</v>
      </c>
      <c r="F18" s="22">
        <v>10441700</v>
      </c>
      <c r="G18" t="s">
        <v>80</v>
      </c>
      <c r="H18" s="6">
        <v>4419</v>
      </c>
      <c r="J18" s="6" t="s">
        <v>386</v>
      </c>
      <c r="K18" t="s">
        <v>385</v>
      </c>
      <c r="M18">
        <v>216</v>
      </c>
      <c r="N18" t="s">
        <v>391</v>
      </c>
      <c r="O18" s="7">
        <v>184.79</v>
      </c>
      <c r="P18" s="7">
        <f>Tabela1[[#This Row],[Valor Contábil Unitário]]*Tabela1[[#This Row],[Quantidade]]</f>
        <v>39914.639999999999</v>
      </c>
      <c r="Q18" s="7">
        <v>0.85552083333333329</v>
      </c>
      <c r="R18" s="7">
        <f>Tabela1[[#This Row],[Valor de Reposição Unitário]]*Tabela1[[#This Row],[Quantidade]]</f>
        <v>184.79249999999999</v>
      </c>
      <c r="S18" s="48">
        <f>IF(Tabela1[[#This Row],[Valor Contábil Total]]&gt;Tabela1[[#This Row],[Valor total de Reposição]],Tabela1[[#This Row],[Valor Contábil Total]],Tabela1[[#This Row],[Valor total de Reposição]])</f>
        <v>39914.639999999999</v>
      </c>
      <c r="T18" s="7">
        <v>9.2396249999999999E-2</v>
      </c>
      <c r="U18" s="7">
        <f>Tabela1[[#This Row],[VMA - Unitário]]*Tabela1[[#This Row],[Quantidade]]</f>
        <v>19.95759</v>
      </c>
      <c r="V18" s="48">
        <f>INDEX(ResumoLotesSUPERBID[VMA Total do Lote],MATCH(Tabela1[[#This Row],[Lote]],ResumoLotesSUPERBID[LOTES],0))</f>
        <v>194633.688375</v>
      </c>
      <c r="W18" s="57">
        <f>Tabela1[[#This Row],[VMA - Total]]/Tabela1[[#This Row],[VMA total do Lote]]</f>
        <v>1.0253923751137976E-4</v>
      </c>
      <c r="X18" t="s">
        <v>392</v>
      </c>
      <c r="Y18" t="s">
        <v>393</v>
      </c>
      <c r="Z18" s="55" t="str">
        <f>Tabela1[[#This Row],[Material]]&amp;"-"&amp;Tabela1[[#This Row],[Centro
Origem]]&amp;"-"&amp;Tabela1[[#This Row],[Depósito]]&amp;"-"&amp;Tabela1[[#This Row],[Tipo de Avaliação]]&amp;"-"&amp;Tabela1[[#This Row],[Elemento PEP]]</f>
        <v>10441700-4419-JI01-IMOB/NAC-</v>
      </c>
      <c r="AA18" s="58" t="str">
        <f>INDEX(ResumoLotesSUPERBID[Sugestão],MATCH(Tabela1[[#This Row],[Lote]],ResumoLotesSUPERBID[LOTES],0))</f>
        <v>Para Leilão</v>
      </c>
      <c r="AB18" s="56">
        <f>INDEX(ResumoLotesSUPERBID[VMA / Comparação],MATCH(Tabela1[[#This Row],[Lote]],ResumoLotesSUPERBID[LOTES],0))</f>
        <v>0.15234446044127942</v>
      </c>
      <c r="AC18" s="59" t="str">
        <f>INDEX(ResumoLotesSUPERBID[Descrição],MATCH(Tabela1[[#This Row],[Lote]],ResumoLotesSUPERBID[LOTES],0))</f>
        <v>1% do Valor de Comparação do VMA</v>
      </c>
    </row>
    <row r="19" spans="1:29" x14ac:dyDescent="0.25">
      <c r="A19" s="20" t="s">
        <v>81</v>
      </c>
      <c r="B19" t="s">
        <v>47</v>
      </c>
      <c r="D19" s="16" t="s">
        <v>73</v>
      </c>
      <c r="E19" t="s">
        <v>61</v>
      </c>
      <c r="F19" s="22">
        <v>10441700</v>
      </c>
      <c r="G19" t="s">
        <v>80</v>
      </c>
      <c r="H19" s="6">
        <v>4419</v>
      </c>
      <c r="J19" s="6" t="s">
        <v>386</v>
      </c>
      <c r="K19" t="s">
        <v>383</v>
      </c>
      <c r="M19">
        <v>42</v>
      </c>
      <c r="N19" t="s">
        <v>391</v>
      </c>
      <c r="O19" s="7">
        <v>1</v>
      </c>
      <c r="P19" s="7">
        <f>Tabela1[[#This Row],[Valor Contábil Unitário]]*Tabela1[[#This Row],[Quantidade]]</f>
        <v>42</v>
      </c>
      <c r="Q19" s="7">
        <v>61.597499999999997</v>
      </c>
      <c r="R19" s="7">
        <f>Tabela1[[#This Row],[Valor de Reposição Unitário]]*Tabela1[[#This Row],[Quantidade]]</f>
        <v>2587.0949999999998</v>
      </c>
      <c r="S19" s="48">
        <f>IF(Tabela1[[#This Row],[Valor Contábil Total]]&gt;Tabela1[[#This Row],[Valor total de Reposição]],Tabela1[[#This Row],[Valor Contábil Total]],Tabela1[[#This Row],[Valor total de Reposição]])</f>
        <v>2587.0949999999998</v>
      </c>
      <c r="T19" s="7">
        <v>2.2175099999999994</v>
      </c>
      <c r="U19" s="7">
        <f>Tabela1[[#This Row],[VMA - Unitário]]*Tabela1[[#This Row],[Quantidade]]</f>
        <v>93.135419999999982</v>
      </c>
      <c r="V19" s="48">
        <f>INDEX(ResumoLotesSUPERBID[VMA Total do Lote],MATCH(Tabela1[[#This Row],[Lote]],ResumoLotesSUPERBID[LOTES],0))</f>
        <v>194633.688375</v>
      </c>
      <c r="W19" s="57">
        <f>Tabela1[[#This Row],[VMA - Total]]/Tabela1[[#This Row],[VMA total do Lote]]</f>
        <v>4.7851644171977215E-4</v>
      </c>
      <c r="X19" t="s">
        <v>392</v>
      </c>
      <c r="Y19" t="s">
        <v>393</v>
      </c>
      <c r="Z19" s="55" t="str">
        <f>Tabela1[[#This Row],[Material]]&amp;"-"&amp;Tabela1[[#This Row],[Centro
Origem]]&amp;"-"&amp;Tabela1[[#This Row],[Depósito]]&amp;"-"&amp;Tabela1[[#This Row],[Tipo de Avaliação]]&amp;"-"&amp;Tabela1[[#This Row],[Elemento PEP]]</f>
        <v>10441700-4419-JI01-A RECUPER-</v>
      </c>
      <c r="AA19" s="58" t="str">
        <f>INDEX(ResumoLotesSUPERBID[Sugestão],MATCH(Tabela1[[#This Row],[Lote]],ResumoLotesSUPERBID[LOTES],0))</f>
        <v>Para Leilão</v>
      </c>
      <c r="AB19" s="56">
        <f>INDEX(ResumoLotesSUPERBID[VMA / Comparação],MATCH(Tabela1[[#This Row],[Lote]],ResumoLotesSUPERBID[LOTES],0))</f>
        <v>0.15234446044127942</v>
      </c>
      <c r="AC19" s="59" t="str">
        <f>INDEX(ResumoLotesSUPERBID[Descrição],MATCH(Tabela1[[#This Row],[Lote]],ResumoLotesSUPERBID[LOTES],0))</f>
        <v>1% do Valor de Comparação do VMA</v>
      </c>
    </row>
    <row r="20" spans="1:29" x14ac:dyDescent="0.25">
      <c r="A20" s="20" t="s">
        <v>82</v>
      </c>
      <c r="B20" t="s">
        <v>47</v>
      </c>
      <c r="D20" s="16" t="s">
        <v>73</v>
      </c>
      <c r="E20" t="s">
        <v>61</v>
      </c>
      <c r="F20" s="22">
        <v>11280491</v>
      </c>
      <c r="G20" t="s">
        <v>83</v>
      </c>
      <c r="H20" s="6">
        <v>4419</v>
      </c>
      <c r="J20" s="6" t="s">
        <v>386</v>
      </c>
      <c r="K20" t="s">
        <v>383</v>
      </c>
      <c r="M20">
        <v>1</v>
      </c>
      <c r="N20" t="s">
        <v>391</v>
      </c>
      <c r="O20" s="7">
        <v>1</v>
      </c>
      <c r="P20" s="7">
        <f>Tabela1[[#This Row],[Valor Contábil Unitário]]*Tabela1[[#This Row],[Quantidade]]</f>
        <v>1</v>
      </c>
      <c r="Q20" s="7">
        <v>1.96</v>
      </c>
      <c r="R20" s="7">
        <f>Tabela1[[#This Row],[Valor de Reposição Unitário]]*Tabela1[[#This Row],[Quantidade]]</f>
        <v>1.96</v>
      </c>
      <c r="S20" s="48">
        <f>IF(Tabela1[[#This Row],[Valor Contábil Total]]&gt;Tabela1[[#This Row],[Valor total de Reposição]],Tabela1[[#This Row],[Valor Contábil Total]],Tabela1[[#This Row],[Valor total de Reposição]])</f>
        <v>1.96</v>
      </c>
      <c r="T20" s="7">
        <v>0.21168000000000001</v>
      </c>
      <c r="U20" s="7">
        <f>Tabela1[[#This Row],[VMA - Unitário]]*Tabela1[[#This Row],[Quantidade]]</f>
        <v>0.21168000000000001</v>
      </c>
      <c r="V20" s="48">
        <f>INDEX(ResumoLotesSUPERBID[VMA Total do Lote],MATCH(Tabela1[[#This Row],[Lote]],ResumoLotesSUPERBID[LOTES],0))</f>
        <v>194633.688375</v>
      </c>
      <c r="W20" s="57">
        <f>Tabela1[[#This Row],[VMA - Total]]/Tabela1[[#This Row],[VMA total do Lote]]</f>
        <v>1.0875815064047748E-6</v>
      </c>
      <c r="X20" t="s">
        <v>392</v>
      </c>
      <c r="Y20" t="s">
        <v>393</v>
      </c>
      <c r="Z20" s="55" t="str">
        <f>Tabela1[[#This Row],[Material]]&amp;"-"&amp;Tabela1[[#This Row],[Centro
Origem]]&amp;"-"&amp;Tabela1[[#This Row],[Depósito]]&amp;"-"&amp;Tabela1[[#This Row],[Tipo de Avaliação]]&amp;"-"&amp;Tabela1[[#This Row],[Elemento PEP]]</f>
        <v>11280491-4419-JI01-A RECUPER-</v>
      </c>
      <c r="AA20" s="58" t="str">
        <f>INDEX(ResumoLotesSUPERBID[Sugestão],MATCH(Tabela1[[#This Row],[Lote]],ResumoLotesSUPERBID[LOTES],0))</f>
        <v>Para Leilão</v>
      </c>
      <c r="AB20" s="56">
        <f>INDEX(ResumoLotesSUPERBID[VMA / Comparação],MATCH(Tabela1[[#This Row],[Lote]],ResumoLotesSUPERBID[LOTES],0))</f>
        <v>0.15234446044127942</v>
      </c>
      <c r="AC20" s="59" t="str">
        <f>INDEX(ResumoLotesSUPERBID[Descrição],MATCH(Tabela1[[#This Row],[Lote]],ResumoLotesSUPERBID[LOTES],0))</f>
        <v>1% do Valor de Comparação do VMA</v>
      </c>
    </row>
    <row r="21" spans="1:29" x14ac:dyDescent="0.25">
      <c r="A21" s="20" t="s">
        <v>84</v>
      </c>
      <c r="B21" t="s">
        <v>47</v>
      </c>
      <c r="D21" s="16" t="s">
        <v>73</v>
      </c>
      <c r="E21" t="s">
        <v>61</v>
      </c>
      <c r="F21" s="22">
        <v>11280491</v>
      </c>
      <c r="G21" t="s">
        <v>83</v>
      </c>
      <c r="H21" s="6">
        <v>4419</v>
      </c>
      <c r="J21" s="6" t="s">
        <v>386</v>
      </c>
      <c r="K21" t="s">
        <v>383</v>
      </c>
      <c r="M21">
        <v>1</v>
      </c>
      <c r="N21" t="s">
        <v>391</v>
      </c>
      <c r="O21" s="7">
        <v>1</v>
      </c>
      <c r="P21" s="7">
        <f>Tabela1[[#This Row],[Valor Contábil Unitário]]*Tabela1[[#This Row],[Quantidade]]</f>
        <v>1</v>
      </c>
      <c r="Q21" s="7">
        <v>1.96</v>
      </c>
      <c r="R21" s="7">
        <f>Tabela1[[#This Row],[Valor de Reposição Unitário]]*Tabela1[[#This Row],[Quantidade]]</f>
        <v>1.96</v>
      </c>
      <c r="S21" s="48">
        <f>IF(Tabela1[[#This Row],[Valor Contábil Total]]&gt;Tabela1[[#This Row],[Valor total de Reposição]],Tabela1[[#This Row],[Valor Contábil Total]],Tabela1[[#This Row],[Valor total de Reposição]])</f>
        <v>1.96</v>
      </c>
      <c r="T21" s="7">
        <v>7.0559999999999998E-2</v>
      </c>
      <c r="U21" s="7">
        <f>Tabela1[[#This Row],[VMA - Unitário]]*Tabela1[[#This Row],[Quantidade]]</f>
        <v>7.0559999999999998E-2</v>
      </c>
      <c r="V21" s="48">
        <f>INDEX(ResumoLotesSUPERBID[VMA Total do Lote],MATCH(Tabela1[[#This Row],[Lote]],ResumoLotesSUPERBID[LOTES],0))</f>
        <v>194633.688375</v>
      </c>
      <c r="W21" s="57">
        <f>Tabela1[[#This Row],[VMA - Total]]/Tabela1[[#This Row],[VMA total do Lote]]</f>
        <v>3.6252716880159159E-7</v>
      </c>
      <c r="X21" t="s">
        <v>392</v>
      </c>
      <c r="Y21" t="s">
        <v>393</v>
      </c>
      <c r="Z21" s="55" t="str">
        <f>Tabela1[[#This Row],[Material]]&amp;"-"&amp;Tabela1[[#This Row],[Centro
Origem]]&amp;"-"&amp;Tabela1[[#This Row],[Depósito]]&amp;"-"&amp;Tabela1[[#This Row],[Tipo de Avaliação]]&amp;"-"&amp;Tabela1[[#This Row],[Elemento PEP]]</f>
        <v>11280491-4419-JI01-A RECUPER-</v>
      </c>
      <c r="AA21" s="58" t="str">
        <f>INDEX(ResumoLotesSUPERBID[Sugestão],MATCH(Tabela1[[#This Row],[Lote]],ResumoLotesSUPERBID[LOTES],0))</f>
        <v>Para Leilão</v>
      </c>
      <c r="AB21" s="56">
        <f>INDEX(ResumoLotesSUPERBID[VMA / Comparação],MATCH(Tabela1[[#This Row],[Lote]],ResumoLotesSUPERBID[LOTES],0))</f>
        <v>0.15234446044127942</v>
      </c>
      <c r="AC21" s="59" t="str">
        <f>INDEX(ResumoLotesSUPERBID[Descrição],MATCH(Tabela1[[#This Row],[Lote]],ResumoLotesSUPERBID[LOTES],0))</f>
        <v>1% do Valor de Comparação do VMA</v>
      </c>
    </row>
    <row r="22" spans="1:29" x14ac:dyDescent="0.25">
      <c r="A22" s="20" t="s">
        <v>85</v>
      </c>
      <c r="B22" t="s">
        <v>47</v>
      </c>
      <c r="D22" s="16" t="s">
        <v>73</v>
      </c>
      <c r="E22" t="s">
        <v>61</v>
      </c>
      <c r="F22" s="22">
        <v>11280493</v>
      </c>
      <c r="G22" t="s">
        <v>83</v>
      </c>
      <c r="H22" s="6">
        <v>4419</v>
      </c>
      <c r="J22" s="6" t="s">
        <v>386</v>
      </c>
      <c r="K22" t="s">
        <v>385</v>
      </c>
      <c r="M22">
        <v>2</v>
      </c>
      <c r="N22" t="s">
        <v>391</v>
      </c>
      <c r="O22" s="7">
        <v>1.97</v>
      </c>
      <c r="P22" s="7">
        <f>Tabela1[[#This Row],[Valor Contábil Unitário]]*Tabela1[[#This Row],[Quantidade]]</f>
        <v>3.94</v>
      </c>
      <c r="Q22" s="7">
        <v>0.98250000000000004</v>
      </c>
      <c r="R22" s="7">
        <f>Tabela1[[#This Row],[Valor de Reposição Unitário]]*Tabela1[[#This Row],[Quantidade]]</f>
        <v>1.9650000000000001</v>
      </c>
      <c r="S22" s="48">
        <f>IF(Tabela1[[#This Row],[Valor Contábil Total]]&gt;Tabela1[[#This Row],[Valor total de Reposição]],Tabela1[[#This Row],[Valor Contábil Total]],Tabela1[[#This Row],[Valor total de Reposição]])</f>
        <v>3.94</v>
      </c>
      <c r="T22" s="7">
        <v>0.10611000000000001</v>
      </c>
      <c r="U22" s="7">
        <f>Tabela1[[#This Row],[VMA - Unitário]]*Tabela1[[#This Row],[Quantidade]]</f>
        <v>0.21222000000000002</v>
      </c>
      <c r="V22" s="48">
        <f>INDEX(ResumoLotesSUPERBID[VMA Total do Lote],MATCH(Tabela1[[#This Row],[Lote]],ResumoLotesSUPERBID[LOTES],0))</f>
        <v>194633.688375</v>
      </c>
      <c r="W22" s="57">
        <f>Tabela1[[#This Row],[VMA - Total]]/Tabela1[[#This Row],[VMA total do Lote]]</f>
        <v>1.0903559490231544E-6</v>
      </c>
      <c r="X22" t="s">
        <v>392</v>
      </c>
      <c r="Y22" t="s">
        <v>393</v>
      </c>
      <c r="Z22" s="55" t="str">
        <f>Tabela1[[#This Row],[Material]]&amp;"-"&amp;Tabela1[[#This Row],[Centro
Origem]]&amp;"-"&amp;Tabela1[[#This Row],[Depósito]]&amp;"-"&amp;Tabela1[[#This Row],[Tipo de Avaliação]]&amp;"-"&amp;Tabela1[[#This Row],[Elemento PEP]]</f>
        <v>11280493-4419-JI01-IMOB/NAC-</v>
      </c>
      <c r="AA22" s="58" t="str">
        <f>INDEX(ResumoLotesSUPERBID[Sugestão],MATCH(Tabela1[[#This Row],[Lote]],ResumoLotesSUPERBID[LOTES],0))</f>
        <v>Para Leilão</v>
      </c>
      <c r="AB22" s="56">
        <f>INDEX(ResumoLotesSUPERBID[VMA / Comparação],MATCH(Tabela1[[#This Row],[Lote]],ResumoLotesSUPERBID[LOTES],0))</f>
        <v>0.15234446044127942</v>
      </c>
      <c r="AC22" s="59" t="str">
        <f>INDEX(ResumoLotesSUPERBID[Descrição],MATCH(Tabela1[[#This Row],[Lote]],ResumoLotesSUPERBID[LOTES],0))</f>
        <v>1% do Valor de Comparação do VMA</v>
      </c>
    </row>
    <row r="23" spans="1:29" x14ac:dyDescent="0.25">
      <c r="A23" s="20" t="s">
        <v>86</v>
      </c>
      <c r="B23" t="s">
        <v>47</v>
      </c>
      <c r="D23" s="16" t="s">
        <v>73</v>
      </c>
      <c r="E23" t="s">
        <v>61</v>
      </c>
      <c r="F23" s="22">
        <v>11280496</v>
      </c>
      <c r="G23" t="s">
        <v>83</v>
      </c>
      <c r="H23" s="6">
        <v>4419</v>
      </c>
      <c r="J23" s="6" t="s">
        <v>386</v>
      </c>
      <c r="K23" t="s">
        <v>385</v>
      </c>
      <c r="M23">
        <v>8</v>
      </c>
      <c r="N23" t="s">
        <v>391</v>
      </c>
      <c r="O23" s="7">
        <v>1.9</v>
      </c>
      <c r="P23" s="7">
        <f>Tabela1[[#This Row],[Valor Contábil Unitário]]*Tabela1[[#This Row],[Quantidade]]</f>
        <v>15.2</v>
      </c>
      <c r="Q23" s="7">
        <v>0.23749999999999999</v>
      </c>
      <c r="R23" s="7">
        <f>Tabela1[[#This Row],[Valor de Reposição Unitário]]*Tabela1[[#This Row],[Quantidade]]</f>
        <v>1.9</v>
      </c>
      <c r="S23" s="48">
        <f>IF(Tabela1[[#This Row],[Valor Contábil Total]]&gt;Tabela1[[#This Row],[Valor total de Reposição]],Tabela1[[#This Row],[Valor Contábil Total]],Tabela1[[#This Row],[Valor total de Reposição]])</f>
        <v>15.2</v>
      </c>
      <c r="T23" s="7">
        <v>2.5649999999999999E-2</v>
      </c>
      <c r="U23" s="7">
        <f>Tabela1[[#This Row],[VMA - Unitário]]*Tabela1[[#This Row],[Quantidade]]</f>
        <v>0.20519999999999999</v>
      </c>
      <c r="V23" s="48">
        <f>INDEX(ResumoLotesSUPERBID[VMA Total do Lote],MATCH(Tabela1[[#This Row],[Lote]],ResumoLotesSUPERBID[LOTES],0))</f>
        <v>194633.688375</v>
      </c>
      <c r="W23" s="57">
        <f>Tabela1[[#This Row],[VMA - Total]]/Tabela1[[#This Row],[VMA total do Lote]]</f>
        <v>1.0542881949842205E-6</v>
      </c>
      <c r="X23" t="s">
        <v>392</v>
      </c>
      <c r="Y23" t="s">
        <v>393</v>
      </c>
      <c r="Z23" s="55" t="str">
        <f>Tabela1[[#This Row],[Material]]&amp;"-"&amp;Tabela1[[#This Row],[Centro
Origem]]&amp;"-"&amp;Tabela1[[#This Row],[Depósito]]&amp;"-"&amp;Tabela1[[#This Row],[Tipo de Avaliação]]&amp;"-"&amp;Tabela1[[#This Row],[Elemento PEP]]</f>
        <v>11280496-4419-JI01-IMOB/NAC-</v>
      </c>
      <c r="AA23" s="58" t="str">
        <f>INDEX(ResumoLotesSUPERBID[Sugestão],MATCH(Tabela1[[#This Row],[Lote]],ResumoLotesSUPERBID[LOTES],0))</f>
        <v>Para Leilão</v>
      </c>
      <c r="AB23" s="56">
        <f>INDEX(ResumoLotesSUPERBID[VMA / Comparação],MATCH(Tabela1[[#This Row],[Lote]],ResumoLotesSUPERBID[LOTES],0))</f>
        <v>0.15234446044127942</v>
      </c>
      <c r="AC23" s="59" t="str">
        <f>INDEX(ResumoLotesSUPERBID[Descrição],MATCH(Tabela1[[#This Row],[Lote]],ResumoLotesSUPERBID[LOTES],0))</f>
        <v>1% do Valor de Comparação do VMA</v>
      </c>
    </row>
    <row r="24" spans="1:29" x14ac:dyDescent="0.25">
      <c r="A24" s="20" t="s">
        <v>87</v>
      </c>
      <c r="B24" t="s">
        <v>47</v>
      </c>
      <c r="D24" s="16" t="s">
        <v>73</v>
      </c>
      <c r="E24" t="s">
        <v>61</v>
      </c>
      <c r="F24" s="22">
        <v>11280533</v>
      </c>
      <c r="G24" t="s">
        <v>83</v>
      </c>
      <c r="H24" s="6">
        <v>4419</v>
      </c>
      <c r="J24" s="6" t="s">
        <v>386</v>
      </c>
      <c r="K24" t="s">
        <v>385</v>
      </c>
      <c r="M24">
        <v>6</v>
      </c>
      <c r="N24" t="s">
        <v>391</v>
      </c>
      <c r="O24" s="7">
        <v>1.9000000000000001</v>
      </c>
      <c r="P24" s="7">
        <f>Tabela1[[#This Row],[Valor Contábil Unitário]]*Tabela1[[#This Row],[Quantidade]]</f>
        <v>11.4</v>
      </c>
      <c r="Q24" s="7">
        <v>0.31666666666666671</v>
      </c>
      <c r="R24" s="7">
        <f>Tabela1[[#This Row],[Valor de Reposição Unitário]]*Tabela1[[#This Row],[Quantidade]]</f>
        <v>1.9000000000000004</v>
      </c>
      <c r="S24" s="48">
        <f>IF(Tabela1[[#This Row],[Valor Contábil Total]]&gt;Tabela1[[#This Row],[Valor total de Reposição]],Tabela1[[#This Row],[Valor Contábil Total]],Tabela1[[#This Row],[Valor total de Reposição]])</f>
        <v>11.4</v>
      </c>
      <c r="T24" s="7">
        <v>3.4200000000000001E-2</v>
      </c>
      <c r="U24" s="7">
        <f>Tabela1[[#This Row],[VMA - Unitário]]*Tabela1[[#This Row],[Quantidade]]</f>
        <v>0.20519999999999999</v>
      </c>
      <c r="V24" s="48">
        <f>INDEX(ResumoLotesSUPERBID[VMA Total do Lote],MATCH(Tabela1[[#This Row],[Lote]],ResumoLotesSUPERBID[LOTES],0))</f>
        <v>194633.688375</v>
      </c>
      <c r="W24" s="57">
        <f>Tabela1[[#This Row],[VMA - Total]]/Tabela1[[#This Row],[VMA total do Lote]]</f>
        <v>1.0542881949842205E-6</v>
      </c>
      <c r="X24" t="s">
        <v>392</v>
      </c>
      <c r="Y24" t="s">
        <v>393</v>
      </c>
      <c r="Z24" s="55" t="str">
        <f>Tabela1[[#This Row],[Material]]&amp;"-"&amp;Tabela1[[#This Row],[Centro
Origem]]&amp;"-"&amp;Tabela1[[#This Row],[Depósito]]&amp;"-"&amp;Tabela1[[#This Row],[Tipo de Avaliação]]&amp;"-"&amp;Tabela1[[#This Row],[Elemento PEP]]</f>
        <v>11280533-4419-JI01-IMOB/NAC-</v>
      </c>
      <c r="AA24" s="58" t="str">
        <f>INDEX(ResumoLotesSUPERBID[Sugestão],MATCH(Tabela1[[#This Row],[Lote]],ResumoLotesSUPERBID[LOTES],0))</f>
        <v>Para Leilão</v>
      </c>
      <c r="AB24" s="56">
        <f>INDEX(ResumoLotesSUPERBID[VMA / Comparação],MATCH(Tabela1[[#This Row],[Lote]],ResumoLotesSUPERBID[LOTES],0))</f>
        <v>0.15234446044127942</v>
      </c>
      <c r="AC24" s="59" t="str">
        <f>INDEX(ResumoLotesSUPERBID[Descrição],MATCH(Tabela1[[#This Row],[Lote]],ResumoLotesSUPERBID[LOTES],0))</f>
        <v>1% do Valor de Comparação do VMA</v>
      </c>
    </row>
    <row r="25" spans="1:29" x14ac:dyDescent="0.25">
      <c r="A25" s="20" t="s">
        <v>88</v>
      </c>
      <c r="B25" t="s">
        <v>47</v>
      </c>
      <c r="D25" s="16" t="s">
        <v>73</v>
      </c>
      <c r="E25" t="s">
        <v>61</v>
      </c>
      <c r="F25" s="22">
        <v>11280537</v>
      </c>
      <c r="G25" t="s">
        <v>83</v>
      </c>
      <c r="H25" s="6">
        <v>4419</v>
      </c>
      <c r="J25" s="6" t="s">
        <v>386</v>
      </c>
      <c r="K25" t="s">
        <v>385</v>
      </c>
      <c r="M25">
        <v>1</v>
      </c>
      <c r="N25" t="s">
        <v>391</v>
      </c>
      <c r="O25" s="7">
        <v>1.96</v>
      </c>
      <c r="P25" s="7">
        <f>Tabela1[[#This Row],[Valor Contábil Unitário]]*Tabela1[[#This Row],[Quantidade]]</f>
        <v>1.96</v>
      </c>
      <c r="Q25" s="7">
        <v>1.96</v>
      </c>
      <c r="R25" s="7">
        <f>Tabela1[[#This Row],[Valor de Reposição Unitário]]*Tabela1[[#This Row],[Quantidade]]</f>
        <v>1.96</v>
      </c>
      <c r="S25" s="48">
        <f>IF(Tabela1[[#This Row],[Valor Contábil Total]]&gt;Tabela1[[#This Row],[Valor total de Reposição]],Tabela1[[#This Row],[Valor Contábil Total]],Tabela1[[#This Row],[Valor total de Reposição]])</f>
        <v>1.96</v>
      </c>
      <c r="T25" s="7">
        <v>0.21168000000000001</v>
      </c>
      <c r="U25" s="7">
        <f>Tabela1[[#This Row],[VMA - Unitário]]*Tabela1[[#This Row],[Quantidade]]</f>
        <v>0.21168000000000001</v>
      </c>
      <c r="V25" s="48">
        <f>INDEX(ResumoLotesSUPERBID[VMA Total do Lote],MATCH(Tabela1[[#This Row],[Lote]],ResumoLotesSUPERBID[LOTES],0))</f>
        <v>194633.688375</v>
      </c>
      <c r="W25" s="57">
        <f>Tabela1[[#This Row],[VMA - Total]]/Tabela1[[#This Row],[VMA total do Lote]]</f>
        <v>1.0875815064047748E-6</v>
      </c>
      <c r="X25" t="s">
        <v>392</v>
      </c>
      <c r="Y25" t="s">
        <v>393</v>
      </c>
      <c r="Z25" s="55" t="str">
        <f>Tabela1[[#This Row],[Material]]&amp;"-"&amp;Tabela1[[#This Row],[Centro
Origem]]&amp;"-"&amp;Tabela1[[#This Row],[Depósito]]&amp;"-"&amp;Tabela1[[#This Row],[Tipo de Avaliação]]&amp;"-"&amp;Tabela1[[#This Row],[Elemento PEP]]</f>
        <v>11280537-4419-JI01-IMOB/NAC-</v>
      </c>
      <c r="AA25" s="58" t="str">
        <f>INDEX(ResumoLotesSUPERBID[Sugestão],MATCH(Tabela1[[#This Row],[Lote]],ResumoLotesSUPERBID[LOTES],0))</f>
        <v>Para Leilão</v>
      </c>
      <c r="AB25" s="56">
        <f>INDEX(ResumoLotesSUPERBID[VMA / Comparação],MATCH(Tabela1[[#This Row],[Lote]],ResumoLotesSUPERBID[LOTES],0))</f>
        <v>0.15234446044127942</v>
      </c>
      <c r="AC25" s="59" t="str">
        <f>INDEX(ResumoLotesSUPERBID[Descrição],MATCH(Tabela1[[#This Row],[Lote]],ResumoLotesSUPERBID[LOTES],0))</f>
        <v>1% do Valor de Comparação do VMA</v>
      </c>
    </row>
    <row r="26" spans="1:29" x14ac:dyDescent="0.25">
      <c r="A26" s="20" t="s">
        <v>89</v>
      </c>
      <c r="B26" t="s">
        <v>47</v>
      </c>
      <c r="D26" s="16" t="s">
        <v>90</v>
      </c>
      <c r="E26" t="s">
        <v>61</v>
      </c>
      <c r="F26" s="22">
        <v>11270892</v>
      </c>
      <c r="G26" t="s">
        <v>91</v>
      </c>
      <c r="H26" s="6">
        <v>4419</v>
      </c>
      <c r="J26" s="6" t="s">
        <v>386</v>
      </c>
      <c r="K26" t="s">
        <v>385</v>
      </c>
      <c r="M26">
        <v>5</v>
      </c>
      <c r="N26" t="s">
        <v>391</v>
      </c>
      <c r="O26" s="7">
        <v>22754.720000000001</v>
      </c>
      <c r="P26" s="7">
        <f>Tabela1[[#This Row],[Valor Contábil Unitário]]*Tabela1[[#This Row],[Quantidade]]</f>
        <v>113773.6</v>
      </c>
      <c r="Q26" s="7">
        <v>22754.723999999998</v>
      </c>
      <c r="R26" s="7">
        <f>Tabela1[[#This Row],[Valor de Reposição Unitário]]*Tabela1[[#This Row],[Quantidade]]</f>
        <v>113773.62</v>
      </c>
      <c r="S26" s="48">
        <f>IF(Tabela1[[#This Row],[Valor Contábil Total]]&gt;Tabela1[[#This Row],[Valor total de Reposição]],Tabela1[[#This Row],[Valor Contábil Total]],Tabela1[[#This Row],[Valor total de Reposição]])</f>
        <v>113773.62</v>
      </c>
      <c r="T26" s="7">
        <v>819.17006399999991</v>
      </c>
      <c r="U26" s="7">
        <f>Tabela1[[#This Row],[VMA - Unitário]]*Tabela1[[#This Row],[Quantidade]]</f>
        <v>4095.8503199999996</v>
      </c>
      <c r="V26" s="48">
        <f>INDEX(ResumoLotesSUPERBID[VMA Total do Lote],MATCH(Tabela1[[#This Row],[Lote]],ResumoLotesSUPERBID[LOTES],0))</f>
        <v>28090.480320000002</v>
      </c>
      <c r="W26" s="57">
        <f>Tabela1[[#This Row],[VMA - Total]]/Tabela1[[#This Row],[VMA total do Lote]]</f>
        <v>0.14580919490663943</v>
      </c>
      <c r="X26" t="s">
        <v>392</v>
      </c>
      <c r="Y26" t="s">
        <v>393</v>
      </c>
      <c r="Z26" s="55" t="str">
        <f>Tabela1[[#This Row],[Material]]&amp;"-"&amp;Tabela1[[#This Row],[Centro
Origem]]&amp;"-"&amp;Tabela1[[#This Row],[Depósito]]&amp;"-"&amp;Tabela1[[#This Row],[Tipo de Avaliação]]&amp;"-"&amp;Tabela1[[#This Row],[Elemento PEP]]</f>
        <v>11270892-4419-JI01-IMOB/NAC-</v>
      </c>
      <c r="AA26" s="58" t="str">
        <f>INDEX(ResumoLotesSUPERBID[Sugestão],MATCH(Tabela1[[#This Row],[Lote]],ResumoLotesSUPERBID[LOTES],0))</f>
        <v>Para Leilão</v>
      </c>
      <c r="AB26" s="56">
        <f>INDEX(ResumoLotesSUPERBID[VMA / Comparação],MATCH(Tabela1[[#This Row],[Lote]],ResumoLotesSUPERBID[LOTES],0))</f>
        <v>0.13862079122348497</v>
      </c>
      <c r="AC26" s="59" t="str">
        <f>INDEX(ResumoLotesSUPERBID[Descrição],MATCH(Tabela1[[#This Row],[Lote]],ResumoLotesSUPERBID[LOTES],0))</f>
        <v>1% do Valor de Comparação do VMA</v>
      </c>
    </row>
    <row r="27" spans="1:29" x14ac:dyDescent="0.25">
      <c r="A27" s="20" t="s">
        <v>92</v>
      </c>
      <c r="B27" t="s">
        <v>47</v>
      </c>
      <c r="D27" s="16" t="s">
        <v>90</v>
      </c>
      <c r="E27" t="s">
        <v>61</v>
      </c>
      <c r="F27" s="22">
        <v>11106482</v>
      </c>
      <c r="G27" t="s">
        <v>93</v>
      </c>
      <c r="H27" s="6">
        <v>4419</v>
      </c>
      <c r="J27" s="6" t="s">
        <v>386</v>
      </c>
      <c r="K27" t="s">
        <v>385</v>
      </c>
      <c r="M27">
        <v>6</v>
      </c>
      <c r="N27" t="s">
        <v>391</v>
      </c>
      <c r="O27" s="7">
        <v>14811.5</v>
      </c>
      <c r="P27" s="7">
        <f>Tabela1[[#This Row],[Valor Contábil Unitário]]*Tabela1[[#This Row],[Quantidade]]</f>
        <v>88869</v>
      </c>
      <c r="Q27" s="7">
        <v>14811.5</v>
      </c>
      <c r="R27" s="7">
        <f>Tabela1[[#This Row],[Valor de Reposição Unitário]]*Tabela1[[#This Row],[Quantidade]]</f>
        <v>88869</v>
      </c>
      <c r="S27" s="48">
        <f>IF(Tabela1[[#This Row],[Valor Contábil Total]]&gt;Tabela1[[#This Row],[Valor total de Reposição]],Tabela1[[#This Row],[Valor Contábil Total]],Tabela1[[#This Row],[Valor total de Reposição]])</f>
        <v>88869</v>
      </c>
      <c r="T27" s="7">
        <v>3999.105</v>
      </c>
      <c r="U27" s="7">
        <f>Tabela1[[#This Row],[VMA - Unitário]]*Tabela1[[#This Row],[Quantidade]]</f>
        <v>23994.63</v>
      </c>
      <c r="V27" s="48">
        <f>INDEX(ResumoLotesSUPERBID[VMA Total do Lote],MATCH(Tabela1[[#This Row],[Lote]],ResumoLotesSUPERBID[LOTES],0))</f>
        <v>28090.480320000002</v>
      </c>
      <c r="W27" s="57">
        <f>Tabela1[[#This Row],[VMA - Total]]/Tabela1[[#This Row],[VMA total do Lote]]</f>
        <v>0.85419080509336054</v>
      </c>
      <c r="X27" t="s">
        <v>392</v>
      </c>
      <c r="Y27" t="s">
        <v>393</v>
      </c>
      <c r="Z27" s="55" t="str">
        <f>Tabela1[[#This Row],[Material]]&amp;"-"&amp;Tabela1[[#This Row],[Centro
Origem]]&amp;"-"&amp;Tabela1[[#This Row],[Depósito]]&amp;"-"&amp;Tabela1[[#This Row],[Tipo de Avaliação]]&amp;"-"&amp;Tabela1[[#This Row],[Elemento PEP]]</f>
        <v>11106482-4419-JI01-IMOB/NAC-</v>
      </c>
      <c r="AA27" s="58" t="str">
        <f>INDEX(ResumoLotesSUPERBID[Sugestão],MATCH(Tabela1[[#This Row],[Lote]],ResumoLotesSUPERBID[LOTES],0))</f>
        <v>Para Leilão</v>
      </c>
      <c r="AB27" s="56">
        <f>INDEX(ResumoLotesSUPERBID[VMA / Comparação],MATCH(Tabela1[[#This Row],[Lote]],ResumoLotesSUPERBID[LOTES],0))</f>
        <v>0.13862079122348497</v>
      </c>
      <c r="AC27" s="59" t="str">
        <f>INDEX(ResumoLotesSUPERBID[Descrição],MATCH(Tabela1[[#This Row],[Lote]],ResumoLotesSUPERBID[LOTES],0))</f>
        <v>1% do Valor de Comparação do VMA</v>
      </c>
    </row>
    <row r="28" spans="1:29" x14ac:dyDescent="0.25">
      <c r="A28" s="20" t="s">
        <v>94</v>
      </c>
      <c r="B28" t="s">
        <v>47</v>
      </c>
      <c r="D28" s="16" t="s">
        <v>95</v>
      </c>
      <c r="E28" t="s">
        <v>61</v>
      </c>
      <c r="F28" s="22">
        <v>10974197</v>
      </c>
      <c r="G28" t="s">
        <v>96</v>
      </c>
      <c r="H28" s="6">
        <v>4419</v>
      </c>
      <c r="J28" s="6" t="s">
        <v>386</v>
      </c>
      <c r="K28" t="s">
        <v>383</v>
      </c>
      <c r="M28">
        <v>1</v>
      </c>
      <c r="N28" t="s">
        <v>391</v>
      </c>
      <c r="O28" s="7">
        <v>0</v>
      </c>
      <c r="P28" s="7">
        <f>Tabela1[[#This Row],[Valor Contábil Unitário]]*Tabela1[[#This Row],[Quantidade]]</f>
        <v>0</v>
      </c>
      <c r="Q28" s="7">
        <v>61500</v>
      </c>
      <c r="R28" s="7">
        <f>Tabela1[[#This Row],[Valor de Reposição Unitário]]*Tabela1[[#This Row],[Quantidade]]</f>
        <v>61500</v>
      </c>
      <c r="S28" s="48">
        <f>IF(Tabela1[[#This Row],[Valor Contábil Total]]&gt;Tabela1[[#This Row],[Valor total de Reposição]],Tabela1[[#This Row],[Valor Contábil Total]],Tabela1[[#This Row],[Valor total de Reposição]])</f>
        <v>61500</v>
      </c>
      <c r="T28" s="7">
        <v>2214</v>
      </c>
      <c r="U28" s="7">
        <f>Tabela1[[#This Row],[VMA - Unitário]]*Tabela1[[#This Row],[Quantidade]]</f>
        <v>2214</v>
      </c>
      <c r="V28" s="48">
        <f>INDEX(ResumoLotesSUPERBID[VMA Total do Lote],MATCH(Tabela1[[#This Row],[Lote]],ResumoLotesSUPERBID[LOTES],0))</f>
        <v>41736.874320000003</v>
      </c>
      <c r="W28" s="57">
        <f>Tabela1[[#This Row],[VMA - Total]]/Tabela1[[#This Row],[VMA total do Lote]]</f>
        <v>5.3046617315544102E-2</v>
      </c>
      <c r="X28" t="s">
        <v>392</v>
      </c>
      <c r="Y28" t="s">
        <v>393</v>
      </c>
      <c r="Z28" s="55" t="str">
        <f>Tabela1[[#This Row],[Material]]&amp;"-"&amp;Tabela1[[#This Row],[Centro
Origem]]&amp;"-"&amp;Tabela1[[#This Row],[Depósito]]&amp;"-"&amp;Tabela1[[#This Row],[Tipo de Avaliação]]&amp;"-"&amp;Tabela1[[#This Row],[Elemento PEP]]</f>
        <v>10974197-4419-JI01-A RECUPER-</v>
      </c>
      <c r="AA28" s="58" t="str">
        <f>INDEX(ResumoLotesSUPERBID[Sugestão],MATCH(Tabela1[[#This Row],[Lote]],ResumoLotesSUPERBID[LOTES],0))</f>
        <v>Para Leilão</v>
      </c>
      <c r="AB28" s="56">
        <f>INDEX(ResumoLotesSUPERBID[VMA / Comparação],MATCH(Tabela1[[#This Row],[Lote]],ResumoLotesSUPERBID[LOTES],0))</f>
        <v>6.152603908350323E-2</v>
      </c>
      <c r="AC28" s="59" t="str">
        <f>INDEX(ResumoLotesSUPERBID[Descrição],MATCH(Tabela1[[#This Row],[Lote]],ResumoLotesSUPERBID[LOTES],0))</f>
        <v>1% do Valor de Comparação do VMA</v>
      </c>
    </row>
    <row r="29" spans="1:29" x14ac:dyDescent="0.25">
      <c r="A29" s="20" t="s">
        <v>97</v>
      </c>
      <c r="B29" t="s">
        <v>47</v>
      </c>
      <c r="D29" s="16" t="s">
        <v>95</v>
      </c>
      <c r="E29" t="s">
        <v>61</v>
      </c>
      <c r="F29" s="22">
        <v>11174061</v>
      </c>
      <c r="G29" t="s">
        <v>98</v>
      </c>
      <c r="H29" s="6">
        <v>4419</v>
      </c>
      <c r="J29" s="6" t="s">
        <v>386</v>
      </c>
      <c r="K29" t="s">
        <v>383</v>
      </c>
      <c r="M29">
        <v>1</v>
      </c>
      <c r="N29" t="s">
        <v>391</v>
      </c>
      <c r="O29" s="7">
        <v>0</v>
      </c>
      <c r="P29" s="7">
        <f>Tabela1[[#This Row],[Valor Contábil Unitário]]*Tabela1[[#This Row],[Quantidade]]</f>
        <v>0</v>
      </c>
      <c r="Q29" s="7">
        <v>6830.8649999999998</v>
      </c>
      <c r="R29" s="7">
        <f>Tabela1[[#This Row],[Valor de Reposição Unitário]]*Tabela1[[#This Row],[Quantidade]]</f>
        <v>6830.8649999999998</v>
      </c>
      <c r="S29" s="48">
        <f>IF(Tabela1[[#This Row],[Valor Contábil Total]]&gt;Tabela1[[#This Row],[Valor total de Reposição]],Tabela1[[#This Row],[Valor Contábil Total]],Tabela1[[#This Row],[Valor total de Reposição]])</f>
        <v>6830.8649999999998</v>
      </c>
      <c r="T29" s="7">
        <v>245.91113999999996</v>
      </c>
      <c r="U29" s="7">
        <f>Tabela1[[#This Row],[VMA - Unitário]]*Tabela1[[#This Row],[Quantidade]]</f>
        <v>245.91113999999996</v>
      </c>
      <c r="V29" s="48">
        <f>INDEX(ResumoLotesSUPERBID[VMA Total do Lote],MATCH(Tabela1[[#This Row],[Lote]],ResumoLotesSUPERBID[LOTES],0))</f>
        <v>41736.874320000003</v>
      </c>
      <c r="W29" s="57">
        <f>Tabela1[[#This Row],[VMA - Total]]/Tabela1[[#This Row],[VMA total do Lote]]</f>
        <v>5.8919395380348629E-3</v>
      </c>
      <c r="X29" t="s">
        <v>392</v>
      </c>
      <c r="Y29" t="s">
        <v>393</v>
      </c>
      <c r="Z29" s="55" t="str">
        <f>Tabela1[[#This Row],[Material]]&amp;"-"&amp;Tabela1[[#This Row],[Centro
Origem]]&amp;"-"&amp;Tabela1[[#This Row],[Depósito]]&amp;"-"&amp;Tabela1[[#This Row],[Tipo de Avaliação]]&amp;"-"&amp;Tabela1[[#This Row],[Elemento PEP]]</f>
        <v>11174061-4419-JI01-A RECUPER-</v>
      </c>
      <c r="AA29" s="58" t="str">
        <f>INDEX(ResumoLotesSUPERBID[Sugestão],MATCH(Tabela1[[#This Row],[Lote]],ResumoLotesSUPERBID[LOTES],0))</f>
        <v>Para Leilão</v>
      </c>
      <c r="AB29" s="56">
        <f>INDEX(ResumoLotesSUPERBID[VMA / Comparação],MATCH(Tabela1[[#This Row],[Lote]],ResumoLotesSUPERBID[LOTES],0))</f>
        <v>6.152603908350323E-2</v>
      </c>
      <c r="AC29" s="59" t="str">
        <f>INDEX(ResumoLotesSUPERBID[Descrição],MATCH(Tabela1[[#This Row],[Lote]],ResumoLotesSUPERBID[LOTES],0))</f>
        <v>1% do Valor de Comparação do VMA</v>
      </c>
    </row>
    <row r="30" spans="1:29" x14ac:dyDescent="0.25">
      <c r="A30" s="20" t="s">
        <v>99</v>
      </c>
      <c r="B30" t="s">
        <v>47</v>
      </c>
      <c r="D30" s="16" t="s">
        <v>95</v>
      </c>
      <c r="E30" t="s">
        <v>61</v>
      </c>
      <c r="F30" s="22">
        <v>11090977</v>
      </c>
      <c r="G30" t="s">
        <v>100</v>
      </c>
      <c r="H30" s="6">
        <v>4419</v>
      </c>
      <c r="J30" s="6" t="s">
        <v>386</v>
      </c>
      <c r="K30" t="s">
        <v>385</v>
      </c>
      <c r="M30">
        <v>1</v>
      </c>
      <c r="N30" t="s">
        <v>391</v>
      </c>
      <c r="O30" s="7">
        <v>121874.81</v>
      </c>
      <c r="P30" s="7">
        <f>Tabela1[[#This Row],[Valor Contábil Unitário]]*Tabela1[[#This Row],[Quantidade]]</f>
        <v>121874.81</v>
      </c>
      <c r="Q30" s="7">
        <v>121874.81</v>
      </c>
      <c r="R30" s="7">
        <f>Tabela1[[#This Row],[Valor de Reposição Unitário]]*Tabela1[[#This Row],[Quantidade]]</f>
        <v>121874.81</v>
      </c>
      <c r="S30" s="48">
        <f>IF(Tabela1[[#This Row],[Valor Contábil Total]]&gt;Tabela1[[#This Row],[Valor total de Reposição]],Tabela1[[#This Row],[Valor Contábil Total]],Tabela1[[#This Row],[Valor total de Reposição]])</f>
        <v>121874.81</v>
      </c>
      <c r="T30" s="7">
        <v>13162.47948</v>
      </c>
      <c r="U30" s="7">
        <f>Tabela1[[#This Row],[VMA - Unitário]]*Tabela1[[#This Row],[Quantidade]]</f>
        <v>13162.47948</v>
      </c>
      <c r="V30" s="48">
        <f>INDEX(ResumoLotesSUPERBID[VMA Total do Lote],MATCH(Tabela1[[#This Row],[Lote]],ResumoLotesSUPERBID[LOTES],0))</f>
        <v>41736.874320000003</v>
      </c>
      <c r="W30" s="57">
        <f>Tabela1[[#This Row],[VMA - Total]]/Tabela1[[#This Row],[VMA total do Lote]]</f>
        <v>0.31536811738900716</v>
      </c>
      <c r="X30" t="s">
        <v>392</v>
      </c>
      <c r="Y30" t="s">
        <v>393</v>
      </c>
      <c r="Z30" s="55" t="str">
        <f>Tabela1[[#This Row],[Material]]&amp;"-"&amp;Tabela1[[#This Row],[Centro
Origem]]&amp;"-"&amp;Tabela1[[#This Row],[Depósito]]&amp;"-"&amp;Tabela1[[#This Row],[Tipo de Avaliação]]&amp;"-"&amp;Tabela1[[#This Row],[Elemento PEP]]</f>
        <v>11090977-4419-JI01-IMOB/NAC-</v>
      </c>
      <c r="AA30" s="58" t="str">
        <f>INDEX(ResumoLotesSUPERBID[Sugestão],MATCH(Tabela1[[#This Row],[Lote]],ResumoLotesSUPERBID[LOTES],0))</f>
        <v>Para Leilão</v>
      </c>
      <c r="AB30" s="56">
        <f>INDEX(ResumoLotesSUPERBID[VMA / Comparação],MATCH(Tabela1[[#This Row],[Lote]],ResumoLotesSUPERBID[LOTES],0))</f>
        <v>6.152603908350323E-2</v>
      </c>
      <c r="AC30" s="59" t="str">
        <f>INDEX(ResumoLotesSUPERBID[Descrição],MATCH(Tabela1[[#This Row],[Lote]],ResumoLotesSUPERBID[LOTES],0))</f>
        <v>1% do Valor de Comparação do VMA</v>
      </c>
    </row>
    <row r="31" spans="1:29" x14ac:dyDescent="0.25">
      <c r="A31" s="20" t="s">
        <v>101</v>
      </c>
      <c r="B31" t="s">
        <v>47</v>
      </c>
      <c r="D31" s="16" t="s">
        <v>95</v>
      </c>
      <c r="E31" t="s">
        <v>61</v>
      </c>
      <c r="F31" s="22">
        <v>11174061</v>
      </c>
      <c r="G31" t="s">
        <v>98</v>
      </c>
      <c r="H31" s="6">
        <v>4419</v>
      </c>
      <c r="J31" s="6" t="s">
        <v>386</v>
      </c>
      <c r="K31" t="s">
        <v>383</v>
      </c>
      <c r="M31">
        <v>2</v>
      </c>
      <c r="N31" t="s">
        <v>391</v>
      </c>
      <c r="O31" s="7">
        <v>0</v>
      </c>
      <c r="P31" s="7">
        <f>Tabela1[[#This Row],[Valor Contábil Unitário]]*Tabela1[[#This Row],[Quantidade]]</f>
        <v>0</v>
      </c>
      <c r="Q31" s="7">
        <v>6830.8649999999998</v>
      </c>
      <c r="R31" s="7">
        <f>Tabela1[[#This Row],[Valor de Reposição Unitário]]*Tabela1[[#This Row],[Quantidade]]</f>
        <v>13661.73</v>
      </c>
      <c r="S31" s="48">
        <f>IF(Tabela1[[#This Row],[Valor Contábil Total]]&gt;Tabela1[[#This Row],[Valor total de Reposição]],Tabela1[[#This Row],[Valor Contábil Total]],Tabela1[[#This Row],[Valor total de Reposição]])</f>
        <v>13661.73</v>
      </c>
      <c r="T31" s="7">
        <v>245.91113999999996</v>
      </c>
      <c r="U31" s="7">
        <f>Tabela1[[#This Row],[VMA - Unitário]]*Tabela1[[#This Row],[Quantidade]]</f>
        <v>491.82227999999992</v>
      </c>
      <c r="V31" s="48">
        <f>INDEX(ResumoLotesSUPERBID[VMA Total do Lote],MATCH(Tabela1[[#This Row],[Lote]],ResumoLotesSUPERBID[LOTES],0))</f>
        <v>41736.874320000003</v>
      </c>
      <c r="W31" s="57">
        <f>Tabela1[[#This Row],[VMA - Total]]/Tabela1[[#This Row],[VMA total do Lote]]</f>
        <v>1.1783879076069726E-2</v>
      </c>
      <c r="X31" t="s">
        <v>392</v>
      </c>
      <c r="Y31" t="s">
        <v>393</v>
      </c>
      <c r="Z31" s="55" t="str">
        <f>Tabela1[[#This Row],[Material]]&amp;"-"&amp;Tabela1[[#This Row],[Centro
Origem]]&amp;"-"&amp;Tabela1[[#This Row],[Depósito]]&amp;"-"&amp;Tabela1[[#This Row],[Tipo de Avaliação]]&amp;"-"&amp;Tabela1[[#This Row],[Elemento PEP]]</f>
        <v>11174061-4419-JI01-A RECUPER-</v>
      </c>
      <c r="AA31" s="58" t="str">
        <f>INDEX(ResumoLotesSUPERBID[Sugestão],MATCH(Tabela1[[#This Row],[Lote]],ResumoLotesSUPERBID[LOTES],0))</f>
        <v>Para Leilão</v>
      </c>
      <c r="AB31" s="56">
        <f>INDEX(ResumoLotesSUPERBID[VMA / Comparação],MATCH(Tabela1[[#This Row],[Lote]],ResumoLotesSUPERBID[LOTES],0))</f>
        <v>6.152603908350323E-2</v>
      </c>
      <c r="AC31" s="59" t="str">
        <f>INDEX(ResumoLotesSUPERBID[Descrição],MATCH(Tabela1[[#This Row],[Lote]],ResumoLotesSUPERBID[LOTES],0))</f>
        <v>1% do Valor de Comparação do VMA</v>
      </c>
    </row>
    <row r="32" spans="1:29" x14ac:dyDescent="0.25">
      <c r="A32" s="20" t="s">
        <v>102</v>
      </c>
      <c r="B32" t="s">
        <v>47</v>
      </c>
      <c r="D32" s="16" t="s">
        <v>95</v>
      </c>
      <c r="E32" t="s">
        <v>61</v>
      </c>
      <c r="F32" s="22">
        <v>11546144</v>
      </c>
      <c r="G32" t="s">
        <v>103</v>
      </c>
      <c r="H32" s="6">
        <v>4419</v>
      </c>
      <c r="J32" s="6" t="s">
        <v>386</v>
      </c>
      <c r="K32" t="s">
        <v>384</v>
      </c>
      <c r="M32">
        <v>2</v>
      </c>
      <c r="N32" t="s">
        <v>391</v>
      </c>
      <c r="O32" s="7">
        <v>237246.87</v>
      </c>
      <c r="P32" s="7">
        <f>Tabela1[[#This Row],[Valor Contábil Unitário]]*Tabela1[[#This Row],[Quantidade]]</f>
        <v>474493.74</v>
      </c>
      <c r="Q32" s="7">
        <v>118623.4325</v>
      </c>
      <c r="R32" s="7">
        <f>Tabela1[[#This Row],[Valor de Reposição Unitário]]*Tabela1[[#This Row],[Quantidade]]</f>
        <v>237246.86499999999</v>
      </c>
      <c r="S32" s="48">
        <f>IF(Tabela1[[#This Row],[Valor Contábil Total]]&gt;Tabela1[[#This Row],[Valor total de Reposição]],Tabela1[[#This Row],[Valor Contábil Total]],Tabela1[[#This Row],[Valor total de Reposição]])</f>
        <v>474493.74</v>
      </c>
      <c r="T32" s="7">
        <v>12811.33071</v>
      </c>
      <c r="U32" s="7">
        <f>Tabela1[[#This Row],[VMA - Unitário]]*Tabela1[[#This Row],[Quantidade]]</f>
        <v>25622.66142</v>
      </c>
      <c r="V32" s="48">
        <f>INDEX(ResumoLotesSUPERBID[VMA Total do Lote],MATCH(Tabela1[[#This Row],[Lote]],ResumoLotesSUPERBID[LOTES],0))</f>
        <v>41736.874320000003</v>
      </c>
      <c r="W32" s="57">
        <f>Tabela1[[#This Row],[VMA - Total]]/Tabela1[[#This Row],[VMA total do Lote]]</f>
        <v>0.61390944668134406</v>
      </c>
      <c r="X32" t="s">
        <v>392</v>
      </c>
      <c r="Y32" t="s">
        <v>393</v>
      </c>
      <c r="Z32" s="55" t="str">
        <f>Tabela1[[#This Row],[Material]]&amp;"-"&amp;Tabela1[[#This Row],[Centro
Origem]]&amp;"-"&amp;Tabela1[[#This Row],[Depósito]]&amp;"-"&amp;Tabela1[[#This Row],[Tipo de Avaliação]]&amp;"-"&amp;Tabela1[[#This Row],[Elemento PEP]]</f>
        <v>11546144-4419-JI01-IMOB/IAMN-</v>
      </c>
      <c r="AA32" s="58" t="str">
        <f>INDEX(ResumoLotesSUPERBID[Sugestão],MATCH(Tabela1[[#This Row],[Lote]],ResumoLotesSUPERBID[LOTES],0))</f>
        <v>Para Leilão</v>
      </c>
      <c r="AB32" s="56">
        <f>INDEX(ResumoLotesSUPERBID[VMA / Comparação],MATCH(Tabela1[[#This Row],[Lote]],ResumoLotesSUPERBID[LOTES],0))</f>
        <v>6.152603908350323E-2</v>
      </c>
      <c r="AC32" s="59" t="str">
        <f>INDEX(ResumoLotesSUPERBID[Descrição],MATCH(Tabela1[[#This Row],[Lote]],ResumoLotesSUPERBID[LOTES],0))</f>
        <v>1% do Valor de Comparação do VMA</v>
      </c>
    </row>
    <row r="33" spans="1:29" x14ac:dyDescent="0.25">
      <c r="A33" s="20" t="s">
        <v>104</v>
      </c>
      <c r="B33" t="s">
        <v>47</v>
      </c>
      <c r="D33" s="16" t="s">
        <v>105</v>
      </c>
      <c r="E33" t="s">
        <v>61</v>
      </c>
      <c r="F33" s="22">
        <v>11170215</v>
      </c>
      <c r="G33" t="s">
        <v>106</v>
      </c>
      <c r="H33" s="6">
        <v>4419</v>
      </c>
      <c r="J33" s="6" t="s">
        <v>386</v>
      </c>
      <c r="K33" t="s">
        <v>387</v>
      </c>
      <c r="M33">
        <v>2</v>
      </c>
      <c r="N33" t="s">
        <v>391</v>
      </c>
      <c r="O33" s="7">
        <v>1</v>
      </c>
      <c r="P33" s="7">
        <f>Tabela1[[#This Row],[Valor Contábil Unitário]]*Tabela1[[#This Row],[Quantidade]]</f>
        <v>2</v>
      </c>
      <c r="Q33" s="7">
        <v>186751.81</v>
      </c>
      <c r="R33" s="7">
        <f>Tabela1[[#This Row],[Valor de Reposição Unitário]]*Tabela1[[#This Row],[Quantidade]]</f>
        <v>373503.62</v>
      </c>
      <c r="S33" s="48">
        <f>IF(Tabela1[[#This Row],[Valor Contábil Total]]&gt;Tabela1[[#This Row],[Valor total de Reposição]],Tabela1[[#This Row],[Valor Contábil Total]],Tabela1[[#This Row],[Valor total de Reposição]])</f>
        <v>373503.62</v>
      </c>
      <c r="T33" s="7">
        <v>47061.456120000003</v>
      </c>
      <c r="U33" s="7">
        <f>Tabela1[[#This Row],[VMA - Unitário]]*Tabela1[[#This Row],[Quantidade]]</f>
        <v>94122.912240000005</v>
      </c>
      <c r="V33" s="48">
        <f>INDEX(ResumoLotesSUPERBID[VMA Total do Lote],MATCH(Tabela1[[#This Row],[Lote]],ResumoLotesSUPERBID[LOTES],0))</f>
        <v>94122.912240000005</v>
      </c>
      <c r="W33" s="57">
        <f>Tabela1[[#This Row],[VMA - Total]]/Tabela1[[#This Row],[VMA total do Lote]]</f>
        <v>1</v>
      </c>
      <c r="X33" t="s">
        <v>392</v>
      </c>
      <c r="Y33" t="s">
        <v>393</v>
      </c>
      <c r="Z33" s="55" t="str">
        <f>Tabela1[[#This Row],[Material]]&amp;"-"&amp;Tabela1[[#This Row],[Centro
Origem]]&amp;"-"&amp;Tabela1[[#This Row],[Depósito]]&amp;"-"&amp;Tabela1[[#This Row],[Tipo de Avaliação]]&amp;"-"&amp;Tabela1[[#This Row],[Elemento PEP]]</f>
        <v>11170215-4419-JI01-USADO-</v>
      </c>
      <c r="AA33" s="58" t="str">
        <f>INDEX(ResumoLotesSUPERBID[Sugestão],MATCH(Tabela1[[#This Row],[Lote]],ResumoLotesSUPERBID[LOTES],0))</f>
        <v>Para Leilão</v>
      </c>
      <c r="AB33" s="56">
        <f>INDEX(ResumoLotesSUPERBID[VMA / Comparação],MATCH(Tabela1[[#This Row],[Lote]],ResumoLotesSUPERBID[LOTES],0))</f>
        <v>0.252</v>
      </c>
      <c r="AC33" s="59" t="str">
        <f>INDEX(ResumoLotesSUPERBID[Descrição],MATCH(Tabela1[[#This Row],[Lote]],ResumoLotesSUPERBID[LOTES],0))</f>
        <v>1% do Valor de Comparação do VMA</v>
      </c>
    </row>
    <row r="34" spans="1:29" x14ac:dyDescent="0.25">
      <c r="A34" s="20" t="s">
        <v>107</v>
      </c>
      <c r="B34" t="s">
        <v>47</v>
      </c>
      <c r="D34" s="16" t="s">
        <v>108</v>
      </c>
      <c r="E34" t="s">
        <v>61</v>
      </c>
      <c r="F34" s="22">
        <v>10650352</v>
      </c>
      <c r="G34" t="s">
        <v>109</v>
      </c>
      <c r="H34" s="6">
        <v>4419</v>
      </c>
      <c r="J34" s="6" t="s">
        <v>386</v>
      </c>
      <c r="K34" t="s">
        <v>387</v>
      </c>
      <c r="M34">
        <v>1</v>
      </c>
      <c r="N34" t="s">
        <v>391</v>
      </c>
      <c r="O34" s="7">
        <v>1</v>
      </c>
      <c r="P34" s="7">
        <f>Tabela1[[#This Row],[Valor Contábil Unitário]]*Tabela1[[#This Row],[Quantidade]]</f>
        <v>1</v>
      </c>
      <c r="Q34" s="7">
        <v>95139.86</v>
      </c>
      <c r="R34" s="7">
        <f>Tabela1[[#This Row],[Valor de Reposição Unitário]]*Tabela1[[#This Row],[Quantidade]]</f>
        <v>95139.86</v>
      </c>
      <c r="S34" s="48">
        <f>IF(Tabela1[[#This Row],[Valor Contábil Total]]&gt;Tabela1[[#This Row],[Valor total de Reposição]],Tabela1[[#This Row],[Valor Contábil Total]],Tabela1[[#This Row],[Valor total de Reposição]])</f>
        <v>95139.86</v>
      </c>
      <c r="T34" s="7">
        <v>23975.244719999999</v>
      </c>
      <c r="U34" s="7">
        <f>Tabela1[[#This Row],[VMA - Unitário]]*Tabela1[[#This Row],[Quantidade]]</f>
        <v>23975.244719999999</v>
      </c>
      <c r="V34" s="48">
        <f>INDEX(ResumoLotesSUPERBID[VMA Total do Lote],MATCH(Tabela1[[#This Row],[Lote]],ResumoLotesSUPERBID[LOTES],0))</f>
        <v>179742.56199480002</v>
      </c>
      <c r="W34" s="57">
        <f>Tabela1[[#This Row],[VMA - Total]]/Tabela1[[#This Row],[VMA total do Lote]]</f>
        <v>0.13338657496544198</v>
      </c>
      <c r="X34" t="s">
        <v>392</v>
      </c>
      <c r="Y34" t="s">
        <v>393</v>
      </c>
      <c r="Z34" s="55" t="str">
        <f>Tabela1[[#This Row],[Material]]&amp;"-"&amp;Tabela1[[#This Row],[Centro
Origem]]&amp;"-"&amp;Tabela1[[#This Row],[Depósito]]&amp;"-"&amp;Tabela1[[#This Row],[Tipo de Avaliação]]&amp;"-"&amp;Tabela1[[#This Row],[Elemento PEP]]</f>
        <v>10650352-4419-JI01-USADO-</v>
      </c>
      <c r="AA34" s="58" t="str">
        <f>INDEX(ResumoLotesSUPERBID[Sugestão],MATCH(Tabela1[[#This Row],[Lote]],ResumoLotesSUPERBID[LOTES],0))</f>
        <v>Para Leilão</v>
      </c>
      <c r="AB34" s="56">
        <f>INDEX(ResumoLotesSUPERBID[VMA / Comparação],MATCH(Tabela1[[#This Row],[Lote]],ResumoLotesSUPERBID[LOTES],0))</f>
        <v>0.25200000000000006</v>
      </c>
      <c r="AC34" s="59" t="str">
        <f>INDEX(ResumoLotesSUPERBID[Descrição],MATCH(Tabela1[[#This Row],[Lote]],ResumoLotesSUPERBID[LOTES],0))</f>
        <v>1% do Valor de Comparação do VMA</v>
      </c>
    </row>
    <row r="35" spans="1:29" x14ac:dyDescent="0.25">
      <c r="A35" s="20" t="s">
        <v>110</v>
      </c>
      <c r="B35" t="s">
        <v>47</v>
      </c>
      <c r="D35" s="16" t="s">
        <v>108</v>
      </c>
      <c r="E35" t="s">
        <v>61</v>
      </c>
      <c r="F35" s="22">
        <v>10943549</v>
      </c>
      <c r="G35" t="s">
        <v>111</v>
      </c>
      <c r="H35" s="6">
        <v>4419</v>
      </c>
      <c r="J35" s="6" t="s">
        <v>386</v>
      </c>
      <c r="K35" t="s">
        <v>387</v>
      </c>
      <c r="M35">
        <v>1</v>
      </c>
      <c r="N35" t="s">
        <v>391</v>
      </c>
      <c r="O35" s="7">
        <v>1</v>
      </c>
      <c r="P35" s="7">
        <f>Tabela1[[#This Row],[Valor Contábil Unitário]]*Tabela1[[#This Row],[Quantidade]]</f>
        <v>1</v>
      </c>
      <c r="Q35" s="7">
        <v>67331.97</v>
      </c>
      <c r="R35" s="7">
        <f>Tabela1[[#This Row],[Valor de Reposição Unitário]]*Tabela1[[#This Row],[Quantidade]]</f>
        <v>67331.97</v>
      </c>
      <c r="S35" s="48">
        <f>IF(Tabela1[[#This Row],[Valor Contábil Total]]&gt;Tabela1[[#This Row],[Valor total de Reposição]],Tabela1[[#This Row],[Valor Contábil Total]],Tabela1[[#This Row],[Valor total de Reposição]])</f>
        <v>67331.97</v>
      </c>
      <c r="T35" s="7">
        <v>16967.656439999999</v>
      </c>
      <c r="U35" s="7">
        <f>Tabela1[[#This Row],[VMA - Unitário]]*Tabela1[[#This Row],[Quantidade]]</f>
        <v>16967.656439999999</v>
      </c>
      <c r="V35" s="48">
        <f>INDEX(ResumoLotesSUPERBID[VMA Total do Lote],MATCH(Tabela1[[#This Row],[Lote]],ResumoLotesSUPERBID[LOTES],0))</f>
        <v>179742.56199480002</v>
      </c>
      <c r="W35" s="57">
        <f>Tabela1[[#This Row],[VMA - Total]]/Tabela1[[#This Row],[VMA total do Lote]]</f>
        <v>9.4399769602098338E-2</v>
      </c>
      <c r="X35" t="s">
        <v>392</v>
      </c>
      <c r="Y35" t="s">
        <v>393</v>
      </c>
      <c r="Z35" s="55" t="str">
        <f>Tabela1[[#This Row],[Material]]&amp;"-"&amp;Tabela1[[#This Row],[Centro
Origem]]&amp;"-"&amp;Tabela1[[#This Row],[Depósito]]&amp;"-"&amp;Tabela1[[#This Row],[Tipo de Avaliação]]&amp;"-"&amp;Tabela1[[#This Row],[Elemento PEP]]</f>
        <v>10943549-4419-JI01-USADO-</v>
      </c>
      <c r="AA35" s="58" t="str">
        <f>INDEX(ResumoLotesSUPERBID[Sugestão],MATCH(Tabela1[[#This Row],[Lote]],ResumoLotesSUPERBID[LOTES],0))</f>
        <v>Para Leilão</v>
      </c>
      <c r="AB35" s="56">
        <f>INDEX(ResumoLotesSUPERBID[VMA / Comparação],MATCH(Tabela1[[#This Row],[Lote]],ResumoLotesSUPERBID[LOTES],0))</f>
        <v>0.25200000000000006</v>
      </c>
      <c r="AC35" s="59" t="str">
        <f>INDEX(ResumoLotesSUPERBID[Descrição],MATCH(Tabela1[[#This Row],[Lote]],ResumoLotesSUPERBID[LOTES],0))</f>
        <v>1% do Valor de Comparação do VMA</v>
      </c>
    </row>
    <row r="36" spans="1:29" x14ac:dyDescent="0.25">
      <c r="A36" s="20" t="s">
        <v>112</v>
      </c>
      <c r="B36" t="s">
        <v>47</v>
      </c>
      <c r="D36" s="16" t="s">
        <v>108</v>
      </c>
      <c r="E36" t="s">
        <v>61</v>
      </c>
      <c r="F36" s="22">
        <v>11282209</v>
      </c>
      <c r="G36" t="s">
        <v>113</v>
      </c>
      <c r="H36" s="6">
        <v>4419</v>
      </c>
      <c r="J36" s="6" t="s">
        <v>386</v>
      </c>
      <c r="K36" t="s">
        <v>387</v>
      </c>
      <c r="M36">
        <v>2</v>
      </c>
      <c r="N36" t="s">
        <v>391</v>
      </c>
      <c r="O36" s="7">
        <v>1</v>
      </c>
      <c r="P36" s="7">
        <f>Tabela1[[#This Row],[Valor Contábil Unitário]]*Tabela1[[#This Row],[Quantidade]]</f>
        <v>2</v>
      </c>
      <c r="Q36" s="7">
        <v>75824.043300000005</v>
      </c>
      <c r="R36" s="7">
        <f>Tabela1[[#This Row],[Valor de Reposição Unitário]]*Tabela1[[#This Row],[Quantidade]]</f>
        <v>151648.08660000001</v>
      </c>
      <c r="S36" s="48">
        <f>IF(Tabela1[[#This Row],[Valor Contábil Total]]&gt;Tabela1[[#This Row],[Valor total de Reposição]],Tabela1[[#This Row],[Valor Contábil Total]],Tabela1[[#This Row],[Valor total de Reposição]])</f>
        <v>151648.08660000001</v>
      </c>
      <c r="T36" s="7">
        <v>19107.6589116</v>
      </c>
      <c r="U36" s="7">
        <f>Tabela1[[#This Row],[VMA - Unitário]]*Tabela1[[#This Row],[Quantidade]]</f>
        <v>38215.317823199999</v>
      </c>
      <c r="V36" s="48">
        <f>INDEX(ResumoLotesSUPERBID[VMA Total do Lote],MATCH(Tabela1[[#This Row],[Lote]],ResumoLotesSUPERBID[LOTES],0))</f>
        <v>179742.56199480002</v>
      </c>
      <c r="W36" s="57">
        <f>Tabela1[[#This Row],[VMA - Total]]/Tabela1[[#This Row],[VMA total do Lote]]</f>
        <v>0.2126114004333908</v>
      </c>
      <c r="X36" t="s">
        <v>392</v>
      </c>
      <c r="Y36" t="s">
        <v>393</v>
      </c>
      <c r="Z36" s="55" t="str">
        <f>Tabela1[[#This Row],[Material]]&amp;"-"&amp;Tabela1[[#This Row],[Centro
Origem]]&amp;"-"&amp;Tabela1[[#This Row],[Depósito]]&amp;"-"&amp;Tabela1[[#This Row],[Tipo de Avaliação]]&amp;"-"&amp;Tabela1[[#This Row],[Elemento PEP]]</f>
        <v>11282209-4419-JI01-USADO-</v>
      </c>
      <c r="AA36" s="58" t="str">
        <f>INDEX(ResumoLotesSUPERBID[Sugestão],MATCH(Tabela1[[#This Row],[Lote]],ResumoLotesSUPERBID[LOTES],0))</f>
        <v>Para Leilão</v>
      </c>
      <c r="AB36" s="56">
        <f>INDEX(ResumoLotesSUPERBID[VMA / Comparação],MATCH(Tabela1[[#This Row],[Lote]],ResumoLotesSUPERBID[LOTES],0))</f>
        <v>0.25200000000000006</v>
      </c>
      <c r="AC36" s="59" t="str">
        <f>INDEX(ResumoLotesSUPERBID[Descrição],MATCH(Tabela1[[#This Row],[Lote]],ResumoLotesSUPERBID[LOTES],0))</f>
        <v>1% do Valor de Comparação do VMA</v>
      </c>
    </row>
    <row r="37" spans="1:29" x14ac:dyDescent="0.25">
      <c r="A37" s="20" t="s">
        <v>114</v>
      </c>
      <c r="B37" t="s">
        <v>47</v>
      </c>
      <c r="D37" s="16" t="s">
        <v>108</v>
      </c>
      <c r="E37" t="s">
        <v>61</v>
      </c>
      <c r="F37" s="22">
        <v>11282211</v>
      </c>
      <c r="G37" t="s">
        <v>115</v>
      </c>
      <c r="H37" s="6">
        <v>4419</v>
      </c>
      <c r="J37" s="6" t="s">
        <v>386</v>
      </c>
      <c r="K37" t="s">
        <v>387</v>
      </c>
      <c r="M37">
        <v>3</v>
      </c>
      <c r="N37" t="s">
        <v>391</v>
      </c>
      <c r="O37" s="7">
        <v>1</v>
      </c>
      <c r="P37" s="7">
        <f>Tabela1[[#This Row],[Valor Contábil Unitário]]*Tabela1[[#This Row],[Quantidade]]</f>
        <v>3</v>
      </c>
      <c r="Q37" s="7">
        <v>28872.494999999999</v>
      </c>
      <c r="R37" s="7">
        <f>Tabela1[[#This Row],[Valor de Reposição Unitário]]*Tabela1[[#This Row],[Quantidade]]</f>
        <v>86617.485000000001</v>
      </c>
      <c r="S37" s="48">
        <f>IF(Tabela1[[#This Row],[Valor Contábil Total]]&gt;Tabela1[[#This Row],[Valor total de Reposição]],Tabela1[[#This Row],[Valor Contábil Total]],Tabela1[[#This Row],[Valor total de Reposição]])</f>
        <v>86617.485000000001</v>
      </c>
      <c r="T37" s="7">
        <v>7275.8687400000008</v>
      </c>
      <c r="U37" s="7">
        <f>Tabela1[[#This Row],[VMA - Unitário]]*Tabela1[[#This Row],[Quantidade]]</f>
        <v>21827.606220000001</v>
      </c>
      <c r="V37" s="48">
        <f>INDEX(ResumoLotesSUPERBID[VMA Total do Lote],MATCH(Tabela1[[#This Row],[Lote]],ResumoLotesSUPERBID[LOTES],0))</f>
        <v>179742.56199480002</v>
      </c>
      <c r="W37" s="57">
        <f>Tabela1[[#This Row],[VMA - Total]]/Tabela1[[#This Row],[VMA total do Lote]]</f>
        <v>0.12143816121098507</v>
      </c>
      <c r="X37" t="s">
        <v>392</v>
      </c>
      <c r="Y37" t="s">
        <v>393</v>
      </c>
      <c r="Z37" s="55" t="str">
        <f>Tabela1[[#This Row],[Material]]&amp;"-"&amp;Tabela1[[#This Row],[Centro
Origem]]&amp;"-"&amp;Tabela1[[#This Row],[Depósito]]&amp;"-"&amp;Tabela1[[#This Row],[Tipo de Avaliação]]&amp;"-"&amp;Tabela1[[#This Row],[Elemento PEP]]</f>
        <v>11282211-4419-JI01-USADO-</v>
      </c>
      <c r="AA37" s="58" t="str">
        <f>INDEX(ResumoLotesSUPERBID[Sugestão],MATCH(Tabela1[[#This Row],[Lote]],ResumoLotesSUPERBID[LOTES],0))</f>
        <v>Para Leilão</v>
      </c>
      <c r="AB37" s="56">
        <f>INDEX(ResumoLotesSUPERBID[VMA / Comparação],MATCH(Tabela1[[#This Row],[Lote]],ResumoLotesSUPERBID[LOTES],0))</f>
        <v>0.25200000000000006</v>
      </c>
      <c r="AC37" s="59" t="str">
        <f>INDEX(ResumoLotesSUPERBID[Descrição],MATCH(Tabela1[[#This Row],[Lote]],ResumoLotesSUPERBID[LOTES],0))</f>
        <v>1% do Valor de Comparação do VMA</v>
      </c>
    </row>
    <row r="38" spans="1:29" x14ac:dyDescent="0.25">
      <c r="A38" s="20" t="s">
        <v>116</v>
      </c>
      <c r="B38" t="s">
        <v>47</v>
      </c>
      <c r="D38" s="16" t="s">
        <v>108</v>
      </c>
      <c r="E38" t="s">
        <v>61</v>
      </c>
      <c r="F38" s="22">
        <v>11282212</v>
      </c>
      <c r="G38" t="s">
        <v>113</v>
      </c>
      <c r="H38" s="6">
        <v>4419</v>
      </c>
      <c r="J38" s="6" t="s">
        <v>386</v>
      </c>
      <c r="K38" t="s">
        <v>387</v>
      </c>
      <c r="M38">
        <v>1</v>
      </c>
      <c r="N38" t="s">
        <v>391</v>
      </c>
      <c r="O38" s="7">
        <v>1</v>
      </c>
      <c r="P38" s="7">
        <f>Tabela1[[#This Row],[Valor Contábil Unitário]]*Tabela1[[#This Row],[Quantidade]]</f>
        <v>1</v>
      </c>
      <c r="Q38" s="7">
        <v>84975.733300000007</v>
      </c>
      <c r="R38" s="7">
        <f>Tabela1[[#This Row],[Valor de Reposição Unitário]]*Tabela1[[#This Row],[Quantidade]]</f>
        <v>84975.733300000007</v>
      </c>
      <c r="S38" s="48">
        <f>IF(Tabela1[[#This Row],[Valor Contábil Total]]&gt;Tabela1[[#This Row],[Valor total de Reposição]],Tabela1[[#This Row],[Valor Contábil Total]],Tabela1[[#This Row],[Valor total de Reposição]])</f>
        <v>84975.733300000007</v>
      </c>
      <c r="T38" s="7">
        <v>21413.884791600001</v>
      </c>
      <c r="U38" s="7">
        <f>Tabela1[[#This Row],[VMA - Unitário]]*Tabela1[[#This Row],[Quantidade]]</f>
        <v>21413.884791600001</v>
      </c>
      <c r="V38" s="48">
        <f>INDEX(ResumoLotesSUPERBID[VMA Total do Lote],MATCH(Tabela1[[#This Row],[Lote]],ResumoLotesSUPERBID[LOTES],0))</f>
        <v>179742.56199480002</v>
      </c>
      <c r="W38" s="57">
        <f>Tabela1[[#This Row],[VMA - Total]]/Tabela1[[#This Row],[VMA total do Lote]]</f>
        <v>0.11913641685055934</v>
      </c>
      <c r="X38" t="s">
        <v>392</v>
      </c>
      <c r="Y38" t="s">
        <v>393</v>
      </c>
      <c r="Z38" s="55" t="str">
        <f>Tabela1[[#This Row],[Material]]&amp;"-"&amp;Tabela1[[#This Row],[Centro
Origem]]&amp;"-"&amp;Tabela1[[#This Row],[Depósito]]&amp;"-"&amp;Tabela1[[#This Row],[Tipo de Avaliação]]&amp;"-"&amp;Tabela1[[#This Row],[Elemento PEP]]</f>
        <v>11282212-4419-JI01-USADO-</v>
      </c>
      <c r="AA38" s="58" t="str">
        <f>INDEX(ResumoLotesSUPERBID[Sugestão],MATCH(Tabela1[[#This Row],[Lote]],ResumoLotesSUPERBID[LOTES],0))</f>
        <v>Para Leilão</v>
      </c>
      <c r="AB38" s="56">
        <f>INDEX(ResumoLotesSUPERBID[VMA / Comparação],MATCH(Tabela1[[#This Row],[Lote]],ResumoLotesSUPERBID[LOTES],0))</f>
        <v>0.25200000000000006</v>
      </c>
      <c r="AC38" s="59" t="str">
        <f>INDEX(ResumoLotesSUPERBID[Descrição],MATCH(Tabela1[[#This Row],[Lote]],ResumoLotesSUPERBID[LOTES],0))</f>
        <v>1% do Valor de Comparação do VMA</v>
      </c>
    </row>
    <row r="39" spans="1:29" x14ac:dyDescent="0.25">
      <c r="A39" s="20" t="s">
        <v>117</v>
      </c>
      <c r="B39" t="s">
        <v>47</v>
      </c>
      <c r="D39" s="16" t="s">
        <v>108</v>
      </c>
      <c r="E39" t="s">
        <v>61</v>
      </c>
      <c r="F39" s="22">
        <v>11408425</v>
      </c>
      <c r="G39" t="s">
        <v>113</v>
      </c>
      <c r="H39" s="6">
        <v>4419</v>
      </c>
      <c r="J39" s="6" t="s">
        <v>386</v>
      </c>
      <c r="K39" t="s">
        <v>387</v>
      </c>
      <c r="M39">
        <v>1</v>
      </c>
      <c r="N39" t="s">
        <v>391</v>
      </c>
      <c r="O39" s="7">
        <v>1</v>
      </c>
      <c r="P39" s="7">
        <f>Tabela1[[#This Row],[Valor Contábil Unitário]]*Tabela1[[#This Row],[Quantidade]]</f>
        <v>1</v>
      </c>
      <c r="Q39" s="7">
        <v>92545.52</v>
      </c>
      <c r="R39" s="7">
        <f>Tabela1[[#This Row],[Valor de Reposição Unitário]]*Tabela1[[#This Row],[Quantidade]]</f>
        <v>92545.52</v>
      </c>
      <c r="S39" s="48">
        <f>IF(Tabela1[[#This Row],[Valor Contábil Total]]&gt;Tabela1[[#This Row],[Valor total de Reposição]],Tabela1[[#This Row],[Valor Contábil Total]],Tabela1[[#This Row],[Valor total de Reposição]])</f>
        <v>92545.52</v>
      </c>
      <c r="T39" s="7">
        <v>23321.47104</v>
      </c>
      <c r="U39" s="7">
        <f>Tabela1[[#This Row],[VMA - Unitário]]*Tabela1[[#This Row],[Quantidade]]</f>
        <v>23321.47104</v>
      </c>
      <c r="V39" s="48">
        <f>INDEX(ResumoLotesSUPERBID[VMA Total do Lote],MATCH(Tabela1[[#This Row],[Lote]],ResumoLotesSUPERBID[LOTES],0))</f>
        <v>179742.56199480002</v>
      </c>
      <c r="W39" s="57">
        <f>Tabela1[[#This Row],[VMA - Total]]/Tabela1[[#This Row],[VMA total do Lote]]</f>
        <v>0.12974929688981898</v>
      </c>
      <c r="X39" t="s">
        <v>392</v>
      </c>
      <c r="Y39" t="s">
        <v>393</v>
      </c>
      <c r="Z39" s="55" t="str">
        <f>Tabela1[[#This Row],[Material]]&amp;"-"&amp;Tabela1[[#This Row],[Centro
Origem]]&amp;"-"&amp;Tabela1[[#This Row],[Depósito]]&amp;"-"&amp;Tabela1[[#This Row],[Tipo de Avaliação]]&amp;"-"&amp;Tabela1[[#This Row],[Elemento PEP]]</f>
        <v>11408425-4419-JI01-USADO-</v>
      </c>
      <c r="AA39" s="58" t="str">
        <f>INDEX(ResumoLotesSUPERBID[Sugestão],MATCH(Tabela1[[#This Row],[Lote]],ResumoLotesSUPERBID[LOTES],0))</f>
        <v>Para Leilão</v>
      </c>
      <c r="AB39" s="56">
        <f>INDEX(ResumoLotesSUPERBID[VMA / Comparação],MATCH(Tabela1[[#This Row],[Lote]],ResumoLotesSUPERBID[LOTES],0))</f>
        <v>0.25200000000000006</v>
      </c>
      <c r="AC39" s="59" t="str">
        <f>INDEX(ResumoLotesSUPERBID[Descrição],MATCH(Tabela1[[#This Row],[Lote]],ResumoLotesSUPERBID[LOTES],0))</f>
        <v>1% do Valor de Comparação do VMA</v>
      </c>
    </row>
    <row r="40" spans="1:29" x14ac:dyDescent="0.25">
      <c r="A40" s="20" t="s">
        <v>118</v>
      </c>
      <c r="B40" t="s">
        <v>47</v>
      </c>
      <c r="D40" s="16" t="s">
        <v>108</v>
      </c>
      <c r="E40" t="s">
        <v>61</v>
      </c>
      <c r="F40" s="22">
        <v>11453922</v>
      </c>
      <c r="G40" t="s">
        <v>119</v>
      </c>
      <c r="H40" s="6">
        <v>4419</v>
      </c>
      <c r="J40" s="6" t="s">
        <v>386</v>
      </c>
      <c r="K40" t="s">
        <v>387</v>
      </c>
      <c r="M40">
        <v>1</v>
      </c>
      <c r="N40" t="s">
        <v>391</v>
      </c>
      <c r="O40" s="7">
        <v>1</v>
      </c>
      <c r="P40" s="7">
        <f>Tabela1[[#This Row],[Valor Contábil Unitário]]*Tabela1[[#This Row],[Quantidade]]</f>
        <v>1</v>
      </c>
      <c r="Q40" s="7">
        <v>135005.48000000001</v>
      </c>
      <c r="R40" s="7">
        <f>Tabela1[[#This Row],[Valor de Reposição Unitário]]*Tabela1[[#This Row],[Quantidade]]</f>
        <v>135005.48000000001</v>
      </c>
      <c r="S40" s="48">
        <f>IF(Tabela1[[#This Row],[Valor Contábil Total]]&gt;Tabela1[[#This Row],[Valor total de Reposição]],Tabela1[[#This Row],[Valor Contábil Total]],Tabela1[[#This Row],[Valor total de Reposição]])</f>
        <v>135005.48000000001</v>
      </c>
      <c r="T40" s="7">
        <v>34021.380960000002</v>
      </c>
      <c r="U40" s="7">
        <f>Tabela1[[#This Row],[VMA - Unitário]]*Tabela1[[#This Row],[Quantidade]]</f>
        <v>34021.380960000002</v>
      </c>
      <c r="V40" s="48">
        <f>INDEX(ResumoLotesSUPERBID[VMA Total do Lote],MATCH(Tabela1[[#This Row],[Lote]],ResumoLotesSUPERBID[LOTES],0))</f>
        <v>179742.56199480002</v>
      </c>
      <c r="W40" s="57">
        <f>Tabela1[[#This Row],[VMA - Total]]/Tabela1[[#This Row],[VMA total do Lote]]</f>
        <v>0.18927838004770536</v>
      </c>
      <c r="X40" t="s">
        <v>392</v>
      </c>
      <c r="Y40" t="s">
        <v>393</v>
      </c>
      <c r="Z40" s="55" t="str">
        <f>Tabela1[[#This Row],[Material]]&amp;"-"&amp;Tabela1[[#This Row],[Centro
Origem]]&amp;"-"&amp;Tabela1[[#This Row],[Depósito]]&amp;"-"&amp;Tabela1[[#This Row],[Tipo de Avaliação]]&amp;"-"&amp;Tabela1[[#This Row],[Elemento PEP]]</f>
        <v>11453922-4419-JI01-USADO-</v>
      </c>
      <c r="AA40" s="58" t="str">
        <f>INDEX(ResumoLotesSUPERBID[Sugestão],MATCH(Tabela1[[#This Row],[Lote]],ResumoLotesSUPERBID[LOTES],0))</f>
        <v>Para Leilão</v>
      </c>
      <c r="AB40" s="56">
        <f>INDEX(ResumoLotesSUPERBID[VMA / Comparação],MATCH(Tabela1[[#This Row],[Lote]],ResumoLotesSUPERBID[LOTES],0))</f>
        <v>0.25200000000000006</v>
      </c>
      <c r="AC40" s="59" t="str">
        <f>INDEX(ResumoLotesSUPERBID[Descrição],MATCH(Tabela1[[#This Row],[Lote]],ResumoLotesSUPERBID[LOTES],0))</f>
        <v>1% do Valor de Comparação do VMA</v>
      </c>
    </row>
    <row r="41" spans="1:29" x14ac:dyDescent="0.25">
      <c r="A41" s="20" t="s">
        <v>120</v>
      </c>
      <c r="B41" t="s">
        <v>47</v>
      </c>
      <c r="D41" s="16" t="s">
        <v>121</v>
      </c>
      <c r="E41" t="s">
        <v>61</v>
      </c>
      <c r="F41" s="22">
        <v>11079103</v>
      </c>
      <c r="G41" t="s">
        <v>122</v>
      </c>
      <c r="H41" s="6">
        <v>4419</v>
      </c>
      <c r="J41" s="6" t="s">
        <v>386</v>
      </c>
      <c r="K41" t="s">
        <v>384</v>
      </c>
      <c r="M41">
        <v>1</v>
      </c>
      <c r="N41" t="s">
        <v>391</v>
      </c>
      <c r="O41" s="7">
        <v>171981.18</v>
      </c>
      <c r="P41" s="7">
        <f>Tabela1[[#This Row],[Valor Contábil Unitário]]*Tabela1[[#This Row],[Quantidade]]</f>
        <v>171981.18</v>
      </c>
      <c r="Q41" s="7">
        <v>171981.18</v>
      </c>
      <c r="R41" s="7">
        <f>Tabela1[[#This Row],[Valor de Reposição Unitário]]*Tabela1[[#This Row],[Quantidade]]</f>
        <v>171981.18</v>
      </c>
      <c r="S41" s="48">
        <f>IF(Tabela1[[#This Row],[Valor Contábil Total]]&gt;Tabela1[[#This Row],[Valor total de Reposição]],Tabela1[[#This Row],[Valor Contábil Total]],Tabela1[[#This Row],[Valor total de Reposição]])</f>
        <v>171981.18</v>
      </c>
      <c r="T41" s="7">
        <v>65008.886039999998</v>
      </c>
      <c r="U41" s="7">
        <f>Tabela1[[#This Row],[VMA - Unitário]]*Tabela1[[#This Row],[Quantidade]]</f>
        <v>65008.886039999998</v>
      </c>
      <c r="V41" s="48">
        <f>INDEX(ResumoLotesSUPERBID[VMA Total do Lote],MATCH(Tabela1[[#This Row],[Lote]],ResumoLotesSUPERBID[LOTES],0))</f>
        <v>107594.44667999999</v>
      </c>
      <c r="W41" s="57">
        <f>Tabela1[[#This Row],[VMA - Total]]/Tabela1[[#This Row],[VMA total do Lote]]</f>
        <v>0.60420298673355288</v>
      </c>
      <c r="X41" t="s">
        <v>392</v>
      </c>
      <c r="Y41" t="s">
        <v>393</v>
      </c>
      <c r="Z41" s="55" t="str">
        <f>Tabela1[[#This Row],[Material]]&amp;"-"&amp;Tabela1[[#This Row],[Centro
Origem]]&amp;"-"&amp;Tabela1[[#This Row],[Depósito]]&amp;"-"&amp;Tabela1[[#This Row],[Tipo de Avaliação]]&amp;"-"&amp;Tabela1[[#This Row],[Elemento PEP]]</f>
        <v>11079103-4419-JI01-IMOB/IAMN-</v>
      </c>
      <c r="AA41" s="58" t="str">
        <f>INDEX(ResumoLotesSUPERBID[Sugestão],MATCH(Tabela1[[#This Row],[Lote]],ResumoLotesSUPERBID[LOTES],0))</f>
        <v>Para Leilão</v>
      </c>
      <c r="AB41" s="56">
        <f>INDEX(ResumoLotesSUPERBID[VMA / Comparação],MATCH(Tabela1[[#This Row],[Lote]],ResumoLotesSUPERBID[LOTES],0))</f>
        <v>0.31555260976357258</v>
      </c>
      <c r="AC41" s="59" t="str">
        <f>INDEX(ResumoLotesSUPERBID[Descrição],MATCH(Tabela1[[#This Row],[Lote]],ResumoLotesSUPERBID[LOTES],0))</f>
        <v>1% do Valor de Comparação do VMA</v>
      </c>
    </row>
    <row r="42" spans="1:29" x14ac:dyDescent="0.25">
      <c r="A42" s="20" t="s">
        <v>123</v>
      </c>
      <c r="B42" t="s">
        <v>47</v>
      </c>
      <c r="D42" s="16" t="s">
        <v>121</v>
      </c>
      <c r="E42" t="s">
        <v>61</v>
      </c>
      <c r="F42" s="22">
        <v>10736761</v>
      </c>
      <c r="G42" t="s">
        <v>124</v>
      </c>
      <c r="H42" s="6">
        <v>4419</v>
      </c>
      <c r="J42" s="6" t="s">
        <v>386</v>
      </c>
      <c r="K42" t="s">
        <v>387</v>
      </c>
      <c r="M42">
        <v>1</v>
      </c>
      <c r="N42" t="s">
        <v>391</v>
      </c>
      <c r="O42" s="7">
        <v>1</v>
      </c>
      <c r="P42" s="7">
        <f>Tabela1[[#This Row],[Valor Contábil Unitário]]*Tabela1[[#This Row],[Quantidade]]</f>
        <v>1</v>
      </c>
      <c r="Q42" s="7">
        <v>168990.32</v>
      </c>
      <c r="R42" s="7">
        <f>Tabela1[[#This Row],[Valor de Reposição Unitário]]*Tabela1[[#This Row],[Quantidade]]</f>
        <v>168990.32</v>
      </c>
      <c r="S42" s="48">
        <f>IF(Tabela1[[#This Row],[Valor Contábil Total]]&gt;Tabela1[[#This Row],[Valor total de Reposição]],Tabela1[[#This Row],[Valor Contábil Total]],Tabela1[[#This Row],[Valor total de Reposição]])</f>
        <v>168990.32</v>
      </c>
      <c r="T42" s="7">
        <v>42585.560640000003</v>
      </c>
      <c r="U42" s="7">
        <f>Tabela1[[#This Row],[VMA - Unitário]]*Tabela1[[#This Row],[Quantidade]]</f>
        <v>42585.560640000003</v>
      </c>
      <c r="V42" s="48">
        <f>INDEX(ResumoLotesSUPERBID[VMA Total do Lote],MATCH(Tabela1[[#This Row],[Lote]],ResumoLotesSUPERBID[LOTES],0))</f>
        <v>107594.44667999999</v>
      </c>
      <c r="W42" s="57">
        <f>Tabela1[[#This Row],[VMA - Total]]/Tabela1[[#This Row],[VMA total do Lote]]</f>
        <v>0.39579701326644717</v>
      </c>
      <c r="X42" t="s">
        <v>392</v>
      </c>
      <c r="Y42" t="s">
        <v>393</v>
      </c>
      <c r="Z42" s="55" t="str">
        <f>Tabela1[[#This Row],[Material]]&amp;"-"&amp;Tabela1[[#This Row],[Centro
Origem]]&amp;"-"&amp;Tabela1[[#This Row],[Depósito]]&amp;"-"&amp;Tabela1[[#This Row],[Tipo de Avaliação]]&amp;"-"&amp;Tabela1[[#This Row],[Elemento PEP]]</f>
        <v>10736761-4419-JI01-USADO-</v>
      </c>
      <c r="AA42" s="58" t="str">
        <f>INDEX(ResumoLotesSUPERBID[Sugestão],MATCH(Tabela1[[#This Row],[Lote]],ResumoLotesSUPERBID[LOTES],0))</f>
        <v>Para Leilão</v>
      </c>
      <c r="AB42" s="56">
        <f>INDEX(ResumoLotesSUPERBID[VMA / Comparação],MATCH(Tabela1[[#This Row],[Lote]],ResumoLotesSUPERBID[LOTES],0))</f>
        <v>0.31555260976357258</v>
      </c>
      <c r="AC42" s="59" t="str">
        <f>INDEX(ResumoLotesSUPERBID[Descrição],MATCH(Tabela1[[#This Row],[Lote]],ResumoLotesSUPERBID[LOTES],0))</f>
        <v>1% do Valor de Comparação do VMA</v>
      </c>
    </row>
    <row r="43" spans="1:29" x14ac:dyDescent="0.25">
      <c r="A43" s="20" t="s">
        <v>125</v>
      </c>
      <c r="B43" t="s">
        <v>47</v>
      </c>
      <c r="D43" s="16" t="s">
        <v>126</v>
      </c>
      <c r="E43" t="s">
        <v>61</v>
      </c>
      <c r="F43" s="22">
        <v>11087263</v>
      </c>
      <c r="G43" t="s">
        <v>127</v>
      </c>
      <c r="H43" s="6">
        <v>4419</v>
      </c>
      <c r="J43" s="6" t="s">
        <v>386</v>
      </c>
      <c r="K43" t="s">
        <v>384</v>
      </c>
      <c r="M43">
        <v>2</v>
      </c>
      <c r="N43" t="s">
        <v>391</v>
      </c>
      <c r="O43" s="7">
        <v>71460.62</v>
      </c>
      <c r="P43" s="7">
        <f>Tabela1[[#This Row],[Valor Contábil Unitário]]*Tabela1[[#This Row],[Quantidade]]</f>
        <v>142921.24</v>
      </c>
      <c r="Q43" s="7">
        <v>71460.615000000005</v>
      </c>
      <c r="R43" s="7">
        <f>Tabela1[[#This Row],[Valor de Reposição Unitário]]*Tabela1[[#This Row],[Quantidade]]</f>
        <v>142921.23000000001</v>
      </c>
      <c r="S43" s="48">
        <f>IF(Tabela1[[#This Row],[Valor Contábil Total]]&gt;Tabela1[[#This Row],[Valor total de Reposição]],Tabela1[[#This Row],[Valor Contábil Total]],Tabela1[[#This Row],[Valor total de Reposição]])</f>
        <v>142921.24</v>
      </c>
      <c r="T43" s="7">
        <v>27012.112470000004</v>
      </c>
      <c r="U43" s="7">
        <f>Tabela1[[#This Row],[VMA - Unitário]]*Tabela1[[#This Row],[Quantidade]]</f>
        <v>54024.224940000007</v>
      </c>
      <c r="V43" s="48">
        <f>INDEX(ResumoLotesSUPERBID[VMA Total do Lote],MATCH(Tabela1[[#This Row],[Lote]],ResumoLotesSUPERBID[LOTES],0))</f>
        <v>1769559.6392039999</v>
      </c>
      <c r="W43" s="57">
        <f>Tabela1[[#This Row],[VMA - Total]]/Tabela1[[#This Row],[VMA total do Lote]]</f>
        <v>3.0529756524228648E-2</v>
      </c>
      <c r="X43" t="s">
        <v>392</v>
      </c>
      <c r="Y43" t="s">
        <v>393</v>
      </c>
      <c r="Z43" s="55" t="str">
        <f>Tabela1[[#This Row],[Material]]&amp;"-"&amp;Tabela1[[#This Row],[Centro
Origem]]&amp;"-"&amp;Tabela1[[#This Row],[Depósito]]&amp;"-"&amp;Tabela1[[#This Row],[Tipo de Avaliação]]&amp;"-"&amp;Tabela1[[#This Row],[Elemento PEP]]</f>
        <v>11087263-4419-JI01-IMOB/IAMN-</v>
      </c>
      <c r="AA43" s="58" t="str">
        <f>INDEX(ResumoLotesSUPERBID[Sugestão],MATCH(Tabela1[[#This Row],[Lote]],ResumoLotesSUPERBID[LOTES],0))</f>
        <v>Para Leilão</v>
      </c>
      <c r="AB43" s="56">
        <f>INDEX(ResumoLotesSUPERBID[VMA / Comparação],MATCH(Tabela1[[#This Row],[Lote]],ResumoLotesSUPERBID[LOTES],0))</f>
        <v>0.25678846420505458</v>
      </c>
      <c r="AC43" s="59" t="str">
        <f>INDEX(ResumoLotesSUPERBID[Descrição],MATCH(Tabela1[[#This Row],[Lote]],ResumoLotesSUPERBID[LOTES],0))</f>
        <v>1% do Valor de Comparação do VMA</v>
      </c>
    </row>
    <row r="44" spans="1:29" x14ac:dyDescent="0.25">
      <c r="A44" s="20" t="s">
        <v>128</v>
      </c>
      <c r="B44" t="s">
        <v>47</v>
      </c>
      <c r="D44" s="16" t="s">
        <v>126</v>
      </c>
      <c r="E44" t="s">
        <v>61</v>
      </c>
      <c r="F44" s="22">
        <v>11111682</v>
      </c>
      <c r="G44" t="s">
        <v>129</v>
      </c>
      <c r="H44" s="6">
        <v>4419</v>
      </c>
      <c r="J44" s="6" t="s">
        <v>386</v>
      </c>
      <c r="K44" t="s">
        <v>384</v>
      </c>
      <c r="M44">
        <v>1</v>
      </c>
      <c r="N44" t="s">
        <v>391</v>
      </c>
      <c r="O44" s="7">
        <v>189363.33</v>
      </c>
      <c r="P44" s="7">
        <f>Tabela1[[#This Row],[Valor Contábil Unitário]]*Tabela1[[#This Row],[Quantidade]]</f>
        <v>189363.33</v>
      </c>
      <c r="Q44" s="7">
        <v>189363.33</v>
      </c>
      <c r="R44" s="7">
        <f>Tabela1[[#This Row],[Valor de Reposição Unitário]]*Tabela1[[#This Row],[Quantidade]]</f>
        <v>189363.33</v>
      </c>
      <c r="S44" s="48">
        <f>IF(Tabela1[[#This Row],[Valor Contábil Total]]&gt;Tabela1[[#This Row],[Valor total de Reposição]],Tabela1[[#This Row],[Valor Contábil Total]],Tabela1[[#This Row],[Valor total de Reposição]])</f>
        <v>189363.33</v>
      </c>
      <c r="T44" s="7">
        <v>71579.338739999992</v>
      </c>
      <c r="U44" s="7">
        <f>Tabela1[[#This Row],[VMA - Unitário]]*Tabela1[[#This Row],[Quantidade]]</f>
        <v>71579.338739999992</v>
      </c>
      <c r="V44" s="48">
        <f>INDEX(ResumoLotesSUPERBID[VMA Total do Lote],MATCH(Tabela1[[#This Row],[Lote]],ResumoLotesSUPERBID[LOTES],0))</f>
        <v>1769559.6392039999</v>
      </c>
      <c r="W44" s="57">
        <f>Tabela1[[#This Row],[VMA - Total]]/Tabela1[[#This Row],[VMA total do Lote]]</f>
        <v>4.0450368076997104E-2</v>
      </c>
      <c r="X44" t="s">
        <v>392</v>
      </c>
      <c r="Y44" t="s">
        <v>393</v>
      </c>
      <c r="Z44" s="55" t="str">
        <f>Tabela1[[#This Row],[Material]]&amp;"-"&amp;Tabela1[[#This Row],[Centro
Origem]]&amp;"-"&amp;Tabela1[[#This Row],[Depósito]]&amp;"-"&amp;Tabela1[[#This Row],[Tipo de Avaliação]]&amp;"-"&amp;Tabela1[[#This Row],[Elemento PEP]]</f>
        <v>11111682-4419-JI01-IMOB/IAMN-</v>
      </c>
      <c r="AA44" s="58" t="str">
        <f>INDEX(ResumoLotesSUPERBID[Sugestão],MATCH(Tabela1[[#This Row],[Lote]],ResumoLotesSUPERBID[LOTES],0))</f>
        <v>Para Leilão</v>
      </c>
      <c r="AB44" s="56">
        <f>INDEX(ResumoLotesSUPERBID[VMA / Comparação],MATCH(Tabela1[[#This Row],[Lote]],ResumoLotesSUPERBID[LOTES],0))</f>
        <v>0.25678846420505458</v>
      </c>
      <c r="AC44" s="59" t="str">
        <f>INDEX(ResumoLotesSUPERBID[Descrição],MATCH(Tabela1[[#This Row],[Lote]],ResumoLotesSUPERBID[LOTES],0))</f>
        <v>1% do Valor de Comparação do VMA</v>
      </c>
    </row>
    <row r="45" spans="1:29" x14ac:dyDescent="0.25">
      <c r="A45" s="20" t="s">
        <v>130</v>
      </c>
      <c r="B45" t="s">
        <v>47</v>
      </c>
      <c r="D45" s="16" t="s">
        <v>126</v>
      </c>
      <c r="E45" t="s">
        <v>61</v>
      </c>
      <c r="F45" s="22">
        <v>11293376</v>
      </c>
      <c r="G45" t="s">
        <v>131</v>
      </c>
      <c r="H45" s="6">
        <v>4419</v>
      </c>
      <c r="J45" s="6" t="s">
        <v>386</v>
      </c>
      <c r="K45" t="s">
        <v>388</v>
      </c>
      <c r="M45">
        <v>1</v>
      </c>
      <c r="N45" t="s">
        <v>391</v>
      </c>
      <c r="O45" s="7">
        <v>100234.52</v>
      </c>
      <c r="P45" s="7">
        <f>Tabela1[[#This Row],[Valor Contábil Unitário]]*Tabela1[[#This Row],[Quantidade]]</f>
        <v>100234.52</v>
      </c>
      <c r="Q45" s="7">
        <v>100234.52</v>
      </c>
      <c r="R45" s="7">
        <f>Tabela1[[#This Row],[Valor de Reposição Unitário]]*Tabela1[[#This Row],[Quantidade]]</f>
        <v>100234.52</v>
      </c>
      <c r="S45" s="48">
        <f>IF(Tabela1[[#This Row],[Valor Contábil Total]]&gt;Tabela1[[#This Row],[Valor total de Reposição]],Tabela1[[#This Row],[Valor Contábil Total]],Tabela1[[#This Row],[Valor total de Reposição]])</f>
        <v>100234.52</v>
      </c>
      <c r="T45" s="7">
        <v>37888.648560000001</v>
      </c>
      <c r="U45" s="7">
        <f>Tabela1[[#This Row],[VMA - Unitário]]*Tabela1[[#This Row],[Quantidade]]</f>
        <v>37888.648560000001</v>
      </c>
      <c r="V45" s="48">
        <f>INDEX(ResumoLotesSUPERBID[VMA Total do Lote],MATCH(Tabela1[[#This Row],[Lote]],ResumoLotesSUPERBID[LOTES],0))</f>
        <v>1769559.6392039999</v>
      </c>
      <c r="W45" s="57">
        <f>Tabela1[[#This Row],[VMA - Total]]/Tabela1[[#This Row],[VMA total do Lote]]</f>
        <v>2.1411343093835161E-2</v>
      </c>
      <c r="X45" t="s">
        <v>392</v>
      </c>
      <c r="Y45" t="s">
        <v>393</v>
      </c>
      <c r="Z45" s="55" t="str">
        <f>Tabela1[[#This Row],[Material]]&amp;"-"&amp;Tabela1[[#This Row],[Centro
Origem]]&amp;"-"&amp;Tabela1[[#This Row],[Depósito]]&amp;"-"&amp;Tabela1[[#This Row],[Tipo de Avaliação]]&amp;"-"&amp;Tabela1[[#This Row],[Elemento PEP]]</f>
        <v>11293376-4419-JI01-INDUS/IAMN-</v>
      </c>
      <c r="AA45" s="58" t="str">
        <f>INDEX(ResumoLotesSUPERBID[Sugestão],MATCH(Tabela1[[#This Row],[Lote]],ResumoLotesSUPERBID[LOTES],0))</f>
        <v>Para Leilão</v>
      </c>
      <c r="AB45" s="56">
        <f>INDEX(ResumoLotesSUPERBID[VMA / Comparação],MATCH(Tabela1[[#This Row],[Lote]],ResumoLotesSUPERBID[LOTES],0))</f>
        <v>0.25678846420505458</v>
      </c>
      <c r="AC45" s="59" t="str">
        <f>INDEX(ResumoLotesSUPERBID[Descrição],MATCH(Tabela1[[#This Row],[Lote]],ResumoLotesSUPERBID[LOTES],0))</f>
        <v>1% do Valor de Comparação do VMA</v>
      </c>
    </row>
    <row r="46" spans="1:29" x14ac:dyDescent="0.25">
      <c r="A46" s="20" t="s">
        <v>132</v>
      </c>
      <c r="B46" t="s">
        <v>47</v>
      </c>
      <c r="D46" s="16" t="s">
        <v>126</v>
      </c>
      <c r="E46" t="s">
        <v>61</v>
      </c>
      <c r="F46" s="22">
        <v>10604949</v>
      </c>
      <c r="G46" t="s">
        <v>133</v>
      </c>
      <c r="H46" s="6">
        <v>4419</v>
      </c>
      <c r="J46" s="6" t="s">
        <v>386</v>
      </c>
      <c r="K46" t="s">
        <v>387</v>
      </c>
      <c r="M46">
        <v>2</v>
      </c>
      <c r="N46" t="s">
        <v>391</v>
      </c>
      <c r="O46" s="7">
        <v>1</v>
      </c>
      <c r="P46" s="7">
        <f>Tabela1[[#This Row],[Valor Contábil Unitário]]*Tabela1[[#This Row],[Quantidade]]</f>
        <v>2</v>
      </c>
      <c r="Q46" s="7">
        <v>201285.8</v>
      </c>
      <c r="R46" s="7">
        <f>Tabela1[[#This Row],[Valor de Reposição Unitário]]*Tabela1[[#This Row],[Quantidade]]</f>
        <v>402571.6</v>
      </c>
      <c r="S46" s="48">
        <f>IF(Tabela1[[#This Row],[Valor Contábil Total]]&gt;Tabela1[[#This Row],[Valor total de Reposição]],Tabela1[[#This Row],[Valor Contábil Total]],Tabela1[[#This Row],[Valor total de Reposição]])</f>
        <v>402571.6</v>
      </c>
      <c r="T46" s="7">
        <v>50724.0216</v>
      </c>
      <c r="U46" s="7">
        <f>Tabela1[[#This Row],[VMA - Unitário]]*Tabela1[[#This Row],[Quantidade]]</f>
        <v>101448.0432</v>
      </c>
      <c r="V46" s="48">
        <f>INDEX(ResumoLotesSUPERBID[VMA Total do Lote],MATCH(Tabela1[[#This Row],[Lote]],ResumoLotesSUPERBID[LOTES],0))</f>
        <v>1769559.6392039999</v>
      </c>
      <c r="W46" s="57">
        <f>Tabela1[[#This Row],[VMA - Total]]/Tabela1[[#This Row],[VMA total do Lote]]</f>
        <v>5.7329541741602062E-2</v>
      </c>
      <c r="X46" t="s">
        <v>392</v>
      </c>
      <c r="Y46" t="s">
        <v>393</v>
      </c>
      <c r="Z46" s="55" t="str">
        <f>Tabela1[[#This Row],[Material]]&amp;"-"&amp;Tabela1[[#This Row],[Centro
Origem]]&amp;"-"&amp;Tabela1[[#This Row],[Depósito]]&amp;"-"&amp;Tabela1[[#This Row],[Tipo de Avaliação]]&amp;"-"&amp;Tabela1[[#This Row],[Elemento PEP]]</f>
        <v>10604949-4419-JI01-USADO-</v>
      </c>
      <c r="AA46" s="58" t="str">
        <f>INDEX(ResumoLotesSUPERBID[Sugestão],MATCH(Tabela1[[#This Row],[Lote]],ResumoLotesSUPERBID[LOTES],0))</f>
        <v>Para Leilão</v>
      </c>
      <c r="AB46" s="56">
        <f>INDEX(ResumoLotesSUPERBID[VMA / Comparação],MATCH(Tabela1[[#This Row],[Lote]],ResumoLotesSUPERBID[LOTES],0))</f>
        <v>0.25678846420505458</v>
      </c>
      <c r="AC46" s="59" t="str">
        <f>INDEX(ResumoLotesSUPERBID[Descrição],MATCH(Tabela1[[#This Row],[Lote]],ResumoLotesSUPERBID[LOTES],0))</f>
        <v>1% do Valor de Comparação do VMA</v>
      </c>
    </row>
    <row r="47" spans="1:29" x14ac:dyDescent="0.25">
      <c r="A47" s="20" t="s">
        <v>134</v>
      </c>
      <c r="B47" t="s">
        <v>47</v>
      </c>
      <c r="D47" s="16" t="s">
        <v>126</v>
      </c>
      <c r="E47" t="s">
        <v>61</v>
      </c>
      <c r="F47" s="22">
        <v>10634973</v>
      </c>
      <c r="G47" t="s">
        <v>135</v>
      </c>
      <c r="H47" s="6">
        <v>4419</v>
      </c>
      <c r="J47" s="6" t="s">
        <v>386</v>
      </c>
      <c r="K47" t="s">
        <v>387</v>
      </c>
      <c r="M47">
        <v>1</v>
      </c>
      <c r="N47" t="s">
        <v>391</v>
      </c>
      <c r="O47" s="7">
        <v>1</v>
      </c>
      <c r="P47" s="7">
        <f>Tabela1[[#This Row],[Valor Contábil Unitário]]*Tabela1[[#This Row],[Quantidade]]</f>
        <v>1</v>
      </c>
      <c r="Q47" s="7">
        <v>152940.19</v>
      </c>
      <c r="R47" s="7">
        <f>Tabela1[[#This Row],[Valor de Reposição Unitário]]*Tabela1[[#This Row],[Quantidade]]</f>
        <v>152940.19</v>
      </c>
      <c r="S47" s="48">
        <f>IF(Tabela1[[#This Row],[Valor Contábil Total]]&gt;Tabela1[[#This Row],[Valor total de Reposição]],Tabela1[[#This Row],[Valor Contábil Total]],Tabela1[[#This Row],[Valor total de Reposição]])</f>
        <v>152940.19</v>
      </c>
      <c r="T47" s="7">
        <v>38540.927880000003</v>
      </c>
      <c r="U47" s="7">
        <f>Tabela1[[#This Row],[VMA - Unitário]]*Tabela1[[#This Row],[Quantidade]]</f>
        <v>38540.927880000003</v>
      </c>
      <c r="V47" s="48">
        <f>INDEX(ResumoLotesSUPERBID[VMA Total do Lote],MATCH(Tabela1[[#This Row],[Lote]],ResumoLotesSUPERBID[LOTES],0))</f>
        <v>1769559.6392039999</v>
      </c>
      <c r="W47" s="57">
        <f>Tabela1[[#This Row],[VMA - Total]]/Tabela1[[#This Row],[VMA total do Lote]]</f>
        <v>2.1779954190940323E-2</v>
      </c>
      <c r="X47" t="s">
        <v>392</v>
      </c>
      <c r="Y47" t="s">
        <v>393</v>
      </c>
      <c r="Z47" s="55" t="str">
        <f>Tabela1[[#This Row],[Material]]&amp;"-"&amp;Tabela1[[#This Row],[Centro
Origem]]&amp;"-"&amp;Tabela1[[#This Row],[Depósito]]&amp;"-"&amp;Tabela1[[#This Row],[Tipo de Avaliação]]&amp;"-"&amp;Tabela1[[#This Row],[Elemento PEP]]</f>
        <v>10634973-4419-JI01-USADO-</v>
      </c>
      <c r="AA47" s="58" t="str">
        <f>INDEX(ResumoLotesSUPERBID[Sugestão],MATCH(Tabela1[[#This Row],[Lote]],ResumoLotesSUPERBID[LOTES],0))</f>
        <v>Para Leilão</v>
      </c>
      <c r="AB47" s="56">
        <f>INDEX(ResumoLotesSUPERBID[VMA / Comparação],MATCH(Tabela1[[#This Row],[Lote]],ResumoLotesSUPERBID[LOTES],0))</f>
        <v>0.25678846420505458</v>
      </c>
      <c r="AC47" s="59" t="str">
        <f>INDEX(ResumoLotesSUPERBID[Descrição],MATCH(Tabela1[[#This Row],[Lote]],ResumoLotesSUPERBID[LOTES],0))</f>
        <v>1% do Valor de Comparação do VMA</v>
      </c>
    </row>
    <row r="48" spans="1:29" x14ac:dyDescent="0.25">
      <c r="A48" s="20" t="s">
        <v>136</v>
      </c>
      <c r="B48" t="s">
        <v>47</v>
      </c>
      <c r="D48" s="16" t="s">
        <v>126</v>
      </c>
      <c r="E48" t="s">
        <v>61</v>
      </c>
      <c r="F48" s="22">
        <v>10865551</v>
      </c>
      <c r="G48" t="s">
        <v>137</v>
      </c>
      <c r="H48" s="6">
        <v>4419</v>
      </c>
      <c r="J48" s="6" t="s">
        <v>386</v>
      </c>
      <c r="K48" t="s">
        <v>387</v>
      </c>
      <c r="M48">
        <v>1</v>
      </c>
      <c r="N48" t="s">
        <v>391</v>
      </c>
      <c r="O48" s="7">
        <v>1</v>
      </c>
      <c r="P48" s="7">
        <f>Tabela1[[#This Row],[Valor Contábil Unitário]]*Tabela1[[#This Row],[Quantidade]]</f>
        <v>1</v>
      </c>
      <c r="Q48" s="7">
        <v>232202.04</v>
      </c>
      <c r="R48" s="7">
        <f>Tabela1[[#This Row],[Valor de Reposição Unitário]]*Tabela1[[#This Row],[Quantidade]]</f>
        <v>232202.04</v>
      </c>
      <c r="S48" s="48">
        <f>IF(Tabela1[[#This Row],[Valor Contábil Total]]&gt;Tabela1[[#This Row],[Valor total de Reposição]],Tabela1[[#This Row],[Valor Contábil Total]],Tabela1[[#This Row],[Valor total de Reposição]])</f>
        <v>232202.04</v>
      </c>
      <c r="T48" s="7">
        <v>58514.914080000002</v>
      </c>
      <c r="U48" s="7">
        <f>Tabela1[[#This Row],[VMA - Unitário]]*Tabela1[[#This Row],[Quantidade]]</f>
        <v>58514.914080000002</v>
      </c>
      <c r="V48" s="48">
        <f>INDEX(ResumoLotesSUPERBID[VMA Total do Lote],MATCH(Tabela1[[#This Row],[Lote]],ResumoLotesSUPERBID[LOTES],0))</f>
        <v>1769559.6392039999</v>
      </c>
      <c r="W48" s="57">
        <f>Tabela1[[#This Row],[VMA - Total]]/Tabela1[[#This Row],[VMA total do Lote]]</f>
        <v>3.3067500401581115E-2</v>
      </c>
      <c r="X48" t="s">
        <v>392</v>
      </c>
      <c r="Y48" t="s">
        <v>393</v>
      </c>
      <c r="Z48" s="55" t="str">
        <f>Tabela1[[#This Row],[Material]]&amp;"-"&amp;Tabela1[[#This Row],[Centro
Origem]]&amp;"-"&amp;Tabela1[[#This Row],[Depósito]]&amp;"-"&amp;Tabela1[[#This Row],[Tipo de Avaliação]]&amp;"-"&amp;Tabela1[[#This Row],[Elemento PEP]]</f>
        <v>10865551-4419-JI01-USADO-</v>
      </c>
      <c r="AA48" s="58" t="str">
        <f>INDEX(ResumoLotesSUPERBID[Sugestão],MATCH(Tabela1[[#This Row],[Lote]],ResumoLotesSUPERBID[LOTES],0))</f>
        <v>Para Leilão</v>
      </c>
      <c r="AB48" s="56">
        <f>INDEX(ResumoLotesSUPERBID[VMA / Comparação],MATCH(Tabela1[[#This Row],[Lote]],ResumoLotesSUPERBID[LOTES],0))</f>
        <v>0.25678846420505458</v>
      </c>
      <c r="AC48" s="59" t="str">
        <f>INDEX(ResumoLotesSUPERBID[Descrição],MATCH(Tabela1[[#This Row],[Lote]],ResumoLotesSUPERBID[LOTES],0))</f>
        <v>1% do Valor de Comparação do VMA</v>
      </c>
    </row>
    <row r="49" spans="1:29" x14ac:dyDescent="0.25">
      <c r="A49" s="20" t="s">
        <v>138</v>
      </c>
      <c r="B49" t="s">
        <v>47</v>
      </c>
      <c r="D49" s="16" t="s">
        <v>126</v>
      </c>
      <c r="E49" t="s">
        <v>61</v>
      </c>
      <c r="F49" s="22">
        <v>10943065</v>
      </c>
      <c r="G49" t="s">
        <v>139</v>
      </c>
      <c r="H49" s="6">
        <v>4419</v>
      </c>
      <c r="J49" s="6" t="s">
        <v>386</v>
      </c>
      <c r="K49" t="s">
        <v>387</v>
      </c>
      <c r="M49">
        <v>1</v>
      </c>
      <c r="N49" t="s">
        <v>391</v>
      </c>
      <c r="O49" s="7">
        <v>1</v>
      </c>
      <c r="P49" s="7">
        <f>Tabela1[[#This Row],[Valor Contábil Unitário]]*Tabela1[[#This Row],[Quantidade]]</f>
        <v>1</v>
      </c>
      <c r="Q49" s="7">
        <v>156936.5</v>
      </c>
      <c r="R49" s="7">
        <f>Tabela1[[#This Row],[Valor de Reposição Unitário]]*Tabela1[[#This Row],[Quantidade]]</f>
        <v>156936.5</v>
      </c>
      <c r="S49" s="48">
        <f>IF(Tabela1[[#This Row],[Valor Contábil Total]]&gt;Tabela1[[#This Row],[Valor total de Reposição]],Tabela1[[#This Row],[Valor Contábil Total]],Tabela1[[#This Row],[Valor total de Reposição]])</f>
        <v>156936.5</v>
      </c>
      <c r="T49" s="7">
        <v>39547.998</v>
      </c>
      <c r="U49" s="7">
        <f>Tabela1[[#This Row],[VMA - Unitário]]*Tabela1[[#This Row],[Quantidade]]</f>
        <v>39547.998</v>
      </c>
      <c r="V49" s="48">
        <f>INDEX(ResumoLotesSUPERBID[VMA Total do Lote],MATCH(Tabela1[[#This Row],[Lote]],ResumoLotesSUPERBID[LOTES],0))</f>
        <v>1769559.6392039999</v>
      </c>
      <c r="W49" s="57">
        <f>Tabela1[[#This Row],[VMA - Total]]/Tabela1[[#This Row],[VMA total do Lote]]</f>
        <v>2.2349061949553651E-2</v>
      </c>
      <c r="X49" t="s">
        <v>392</v>
      </c>
      <c r="Y49" t="s">
        <v>393</v>
      </c>
      <c r="Z49" s="55" t="str">
        <f>Tabela1[[#This Row],[Material]]&amp;"-"&amp;Tabela1[[#This Row],[Centro
Origem]]&amp;"-"&amp;Tabela1[[#This Row],[Depósito]]&amp;"-"&amp;Tabela1[[#This Row],[Tipo de Avaliação]]&amp;"-"&amp;Tabela1[[#This Row],[Elemento PEP]]</f>
        <v>10943065-4419-JI01-USADO-</v>
      </c>
      <c r="AA49" s="58" t="str">
        <f>INDEX(ResumoLotesSUPERBID[Sugestão],MATCH(Tabela1[[#This Row],[Lote]],ResumoLotesSUPERBID[LOTES],0))</f>
        <v>Para Leilão</v>
      </c>
      <c r="AB49" s="56">
        <f>INDEX(ResumoLotesSUPERBID[VMA / Comparação],MATCH(Tabela1[[#This Row],[Lote]],ResumoLotesSUPERBID[LOTES],0))</f>
        <v>0.25678846420505458</v>
      </c>
      <c r="AC49" s="59" t="str">
        <f>INDEX(ResumoLotesSUPERBID[Descrição],MATCH(Tabela1[[#This Row],[Lote]],ResumoLotesSUPERBID[LOTES],0))</f>
        <v>1% do Valor de Comparação do VMA</v>
      </c>
    </row>
    <row r="50" spans="1:29" x14ac:dyDescent="0.25">
      <c r="A50" s="20" t="s">
        <v>140</v>
      </c>
      <c r="B50" t="s">
        <v>47</v>
      </c>
      <c r="D50" s="16" t="s">
        <v>126</v>
      </c>
      <c r="E50" t="s">
        <v>61</v>
      </c>
      <c r="F50" s="22">
        <v>10976581</v>
      </c>
      <c r="G50" t="s">
        <v>141</v>
      </c>
      <c r="H50" s="6">
        <v>4419</v>
      </c>
      <c r="J50" s="6" t="s">
        <v>386</v>
      </c>
      <c r="K50" t="s">
        <v>387</v>
      </c>
      <c r="M50">
        <v>1</v>
      </c>
      <c r="N50" t="s">
        <v>391</v>
      </c>
      <c r="O50" s="7">
        <v>1</v>
      </c>
      <c r="P50" s="7">
        <f>Tabela1[[#This Row],[Valor Contábil Unitário]]*Tabela1[[#This Row],[Quantidade]]</f>
        <v>1</v>
      </c>
      <c r="Q50" s="7">
        <v>139061.62</v>
      </c>
      <c r="R50" s="7">
        <f>Tabela1[[#This Row],[Valor de Reposição Unitário]]*Tabela1[[#This Row],[Quantidade]]</f>
        <v>139061.62</v>
      </c>
      <c r="S50" s="48">
        <f>IF(Tabela1[[#This Row],[Valor Contábil Total]]&gt;Tabela1[[#This Row],[Valor total de Reposição]],Tabela1[[#This Row],[Valor Contábil Total]],Tabela1[[#This Row],[Valor total de Reposição]])</f>
        <v>139061.62</v>
      </c>
      <c r="T50" s="7">
        <v>35043.52824</v>
      </c>
      <c r="U50" s="7">
        <f>Tabela1[[#This Row],[VMA - Unitário]]*Tabela1[[#This Row],[Quantidade]]</f>
        <v>35043.52824</v>
      </c>
      <c r="V50" s="48">
        <f>INDEX(ResumoLotesSUPERBID[VMA Total do Lote],MATCH(Tabela1[[#This Row],[Lote]],ResumoLotesSUPERBID[LOTES],0))</f>
        <v>1769559.6392039999</v>
      </c>
      <c r="W50" s="57">
        <f>Tabela1[[#This Row],[VMA - Total]]/Tabela1[[#This Row],[VMA total do Lote]]</f>
        <v>1.9803530473696616E-2</v>
      </c>
      <c r="X50" t="s">
        <v>392</v>
      </c>
      <c r="Y50" t="s">
        <v>393</v>
      </c>
      <c r="Z50" s="55" t="str">
        <f>Tabela1[[#This Row],[Material]]&amp;"-"&amp;Tabela1[[#This Row],[Centro
Origem]]&amp;"-"&amp;Tabela1[[#This Row],[Depósito]]&amp;"-"&amp;Tabela1[[#This Row],[Tipo de Avaliação]]&amp;"-"&amp;Tabela1[[#This Row],[Elemento PEP]]</f>
        <v>10976581-4419-JI01-USADO-</v>
      </c>
      <c r="AA50" s="58" t="str">
        <f>INDEX(ResumoLotesSUPERBID[Sugestão],MATCH(Tabela1[[#This Row],[Lote]],ResumoLotesSUPERBID[LOTES],0))</f>
        <v>Para Leilão</v>
      </c>
      <c r="AB50" s="56">
        <f>INDEX(ResumoLotesSUPERBID[VMA / Comparação],MATCH(Tabela1[[#This Row],[Lote]],ResumoLotesSUPERBID[LOTES],0))</f>
        <v>0.25678846420505458</v>
      </c>
      <c r="AC50" s="59" t="str">
        <f>INDEX(ResumoLotesSUPERBID[Descrição],MATCH(Tabela1[[#This Row],[Lote]],ResumoLotesSUPERBID[LOTES],0))</f>
        <v>1% do Valor de Comparação do VMA</v>
      </c>
    </row>
    <row r="51" spans="1:29" x14ac:dyDescent="0.25">
      <c r="A51" s="20" t="s">
        <v>142</v>
      </c>
      <c r="B51" t="s">
        <v>47</v>
      </c>
      <c r="D51" s="16" t="s">
        <v>126</v>
      </c>
      <c r="E51" t="s">
        <v>61</v>
      </c>
      <c r="F51" s="22">
        <v>11004316</v>
      </c>
      <c r="G51" t="s">
        <v>143</v>
      </c>
      <c r="H51" s="6">
        <v>4419</v>
      </c>
      <c r="J51" s="6" t="s">
        <v>386</v>
      </c>
      <c r="K51" t="s">
        <v>387</v>
      </c>
      <c r="M51">
        <v>1</v>
      </c>
      <c r="N51" t="s">
        <v>391</v>
      </c>
      <c r="O51" s="7">
        <v>1</v>
      </c>
      <c r="P51" s="7">
        <f>Tabela1[[#This Row],[Valor Contábil Unitário]]*Tabela1[[#This Row],[Quantidade]]</f>
        <v>1</v>
      </c>
      <c r="Q51" s="7">
        <v>79412.06</v>
      </c>
      <c r="R51" s="7">
        <f>Tabela1[[#This Row],[Valor de Reposição Unitário]]*Tabela1[[#This Row],[Quantidade]]</f>
        <v>79412.06</v>
      </c>
      <c r="S51" s="48">
        <f>IF(Tabela1[[#This Row],[Valor Contábil Total]]&gt;Tabela1[[#This Row],[Valor total de Reposição]],Tabela1[[#This Row],[Valor Contábil Total]],Tabela1[[#This Row],[Valor total de Reposição]])</f>
        <v>79412.06</v>
      </c>
      <c r="T51" s="7">
        <v>20011.839120000001</v>
      </c>
      <c r="U51" s="7">
        <f>Tabela1[[#This Row],[VMA - Unitário]]*Tabela1[[#This Row],[Quantidade]]</f>
        <v>20011.839120000001</v>
      </c>
      <c r="V51" s="48">
        <f>INDEX(ResumoLotesSUPERBID[VMA Total do Lote],MATCH(Tabela1[[#This Row],[Lote]],ResumoLotesSUPERBID[LOTES],0))</f>
        <v>1769559.6392039999</v>
      </c>
      <c r="W51" s="57">
        <f>Tabela1[[#This Row],[VMA - Total]]/Tabela1[[#This Row],[VMA total do Lote]]</f>
        <v>1.130893736308425E-2</v>
      </c>
      <c r="X51" t="s">
        <v>392</v>
      </c>
      <c r="Y51" t="s">
        <v>393</v>
      </c>
      <c r="Z51" s="55" t="str">
        <f>Tabela1[[#This Row],[Material]]&amp;"-"&amp;Tabela1[[#This Row],[Centro
Origem]]&amp;"-"&amp;Tabela1[[#This Row],[Depósito]]&amp;"-"&amp;Tabela1[[#This Row],[Tipo de Avaliação]]&amp;"-"&amp;Tabela1[[#This Row],[Elemento PEP]]</f>
        <v>11004316-4419-JI01-USADO-</v>
      </c>
      <c r="AA51" s="58" t="str">
        <f>INDEX(ResumoLotesSUPERBID[Sugestão],MATCH(Tabela1[[#This Row],[Lote]],ResumoLotesSUPERBID[LOTES],0))</f>
        <v>Para Leilão</v>
      </c>
      <c r="AB51" s="56">
        <f>INDEX(ResumoLotesSUPERBID[VMA / Comparação],MATCH(Tabela1[[#This Row],[Lote]],ResumoLotesSUPERBID[LOTES],0))</f>
        <v>0.25678846420505458</v>
      </c>
      <c r="AC51" s="59" t="str">
        <f>INDEX(ResumoLotesSUPERBID[Descrição],MATCH(Tabela1[[#This Row],[Lote]],ResumoLotesSUPERBID[LOTES],0))</f>
        <v>1% do Valor de Comparação do VMA</v>
      </c>
    </row>
    <row r="52" spans="1:29" x14ac:dyDescent="0.25">
      <c r="A52" s="20" t="s">
        <v>144</v>
      </c>
      <c r="B52" t="s">
        <v>47</v>
      </c>
      <c r="D52" s="16" t="s">
        <v>126</v>
      </c>
      <c r="E52" t="s">
        <v>61</v>
      </c>
      <c r="F52" s="22">
        <v>11054347</v>
      </c>
      <c r="G52" t="s">
        <v>145</v>
      </c>
      <c r="H52" s="6">
        <v>4419</v>
      </c>
      <c r="J52" s="6" t="s">
        <v>386</v>
      </c>
      <c r="K52" t="s">
        <v>387</v>
      </c>
      <c r="M52">
        <v>2</v>
      </c>
      <c r="N52" t="s">
        <v>391</v>
      </c>
      <c r="O52" s="7">
        <v>1</v>
      </c>
      <c r="P52" s="7">
        <f>Tabela1[[#This Row],[Valor Contábil Unitário]]*Tabela1[[#This Row],[Quantidade]]</f>
        <v>2</v>
      </c>
      <c r="Q52" s="7">
        <v>187753.7</v>
      </c>
      <c r="R52" s="7">
        <f>Tabela1[[#This Row],[Valor de Reposição Unitário]]*Tabela1[[#This Row],[Quantidade]]</f>
        <v>375507.4</v>
      </c>
      <c r="S52" s="48">
        <f>IF(Tabela1[[#This Row],[Valor Contábil Total]]&gt;Tabela1[[#This Row],[Valor total de Reposição]],Tabela1[[#This Row],[Valor Contábil Total]],Tabela1[[#This Row],[Valor total de Reposição]])</f>
        <v>375507.4</v>
      </c>
      <c r="T52" s="7">
        <v>47313.932400000005</v>
      </c>
      <c r="U52" s="7">
        <f>Tabela1[[#This Row],[VMA - Unitário]]*Tabela1[[#This Row],[Quantidade]]</f>
        <v>94627.86480000001</v>
      </c>
      <c r="V52" s="48">
        <f>INDEX(ResumoLotesSUPERBID[VMA Total do Lote],MATCH(Tabela1[[#This Row],[Lote]],ResumoLotesSUPERBID[LOTES],0))</f>
        <v>1769559.6392039999</v>
      </c>
      <c r="W52" s="57">
        <f>Tabela1[[#This Row],[VMA - Total]]/Tabela1[[#This Row],[VMA total do Lote]]</f>
        <v>5.3475374722361101E-2</v>
      </c>
      <c r="X52" t="s">
        <v>392</v>
      </c>
      <c r="Y52" t="s">
        <v>393</v>
      </c>
      <c r="Z52" s="55" t="str">
        <f>Tabela1[[#This Row],[Material]]&amp;"-"&amp;Tabela1[[#This Row],[Centro
Origem]]&amp;"-"&amp;Tabela1[[#This Row],[Depósito]]&amp;"-"&amp;Tabela1[[#This Row],[Tipo de Avaliação]]&amp;"-"&amp;Tabela1[[#This Row],[Elemento PEP]]</f>
        <v>11054347-4419-JI01-USADO-</v>
      </c>
      <c r="AA52" s="58" t="str">
        <f>INDEX(ResumoLotesSUPERBID[Sugestão],MATCH(Tabela1[[#This Row],[Lote]],ResumoLotesSUPERBID[LOTES],0))</f>
        <v>Para Leilão</v>
      </c>
      <c r="AB52" s="56">
        <f>INDEX(ResumoLotesSUPERBID[VMA / Comparação],MATCH(Tabela1[[#This Row],[Lote]],ResumoLotesSUPERBID[LOTES],0))</f>
        <v>0.25678846420505458</v>
      </c>
      <c r="AC52" s="59" t="str">
        <f>INDEX(ResumoLotesSUPERBID[Descrição],MATCH(Tabela1[[#This Row],[Lote]],ResumoLotesSUPERBID[LOTES],0))</f>
        <v>1% do Valor de Comparação do VMA</v>
      </c>
    </row>
    <row r="53" spans="1:29" x14ac:dyDescent="0.25">
      <c r="A53" s="20" t="s">
        <v>146</v>
      </c>
      <c r="B53" t="s">
        <v>47</v>
      </c>
      <c r="D53" s="16" t="s">
        <v>126</v>
      </c>
      <c r="E53" t="s">
        <v>61</v>
      </c>
      <c r="F53" s="22">
        <v>11100298</v>
      </c>
      <c r="G53" t="s">
        <v>147</v>
      </c>
      <c r="H53" s="6">
        <v>4419</v>
      </c>
      <c r="J53" s="6" t="s">
        <v>386</v>
      </c>
      <c r="K53" t="s">
        <v>387</v>
      </c>
      <c r="M53">
        <v>3</v>
      </c>
      <c r="N53" t="s">
        <v>391</v>
      </c>
      <c r="O53" s="7">
        <v>1</v>
      </c>
      <c r="P53" s="7">
        <f>Tabela1[[#This Row],[Valor Contábil Unitário]]*Tabela1[[#This Row],[Quantidade]]</f>
        <v>3</v>
      </c>
      <c r="Q53" s="7">
        <v>124761.23</v>
      </c>
      <c r="R53" s="7">
        <f>Tabela1[[#This Row],[Valor de Reposição Unitário]]*Tabela1[[#This Row],[Quantidade]]</f>
        <v>374283.69</v>
      </c>
      <c r="S53" s="48">
        <f>IF(Tabela1[[#This Row],[Valor Contábil Total]]&gt;Tabela1[[#This Row],[Valor total de Reposição]],Tabela1[[#This Row],[Valor Contábil Total]],Tabela1[[#This Row],[Valor total de Reposição]])</f>
        <v>374283.69</v>
      </c>
      <c r="T53" s="7">
        <v>31439.829960000003</v>
      </c>
      <c r="U53" s="7">
        <f>Tabela1[[#This Row],[VMA - Unitário]]*Tabela1[[#This Row],[Quantidade]]</f>
        <v>94319.489880000008</v>
      </c>
      <c r="V53" s="48">
        <f>INDEX(ResumoLotesSUPERBID[VMA Total do Lote],MATCH(Tabela1[[#This Row],[Lote]],ResumoLotesSUPERBID[LOTES],0))</f>
        <v>1769559.6392039999</v>
      </c>
      <c r="W53" s="57">
        <f>Tabela1[[#This Row],[VMA - Total]]/Tabela1[[#This Row],[VMA total do Lote]]</f>
        <v>5.3301108247715064E-2</v>
      </c>
      <c r="X53" t="s">
        <v>392</v>
      </c>
      <c r="Y53" t="s">
        <v>393</v>
      </c>
      <c r="Z53" s="55" t="str">
        <f>Tabela1[[#This Row],[Material]]&amp;"-"&amp;Tabela1[[#This Row],[Centro
Origem]]&amp;"-"&amp;Tabela1[[#This Row],[Depósito]]&amp;"-"&amp;Tabela1[[#This Row],[Tipo de Avaliação]]&amp;"-"&amp;Tabela1[[#This Row],[Elemento PEP]]</f>
        <v>11100298-4419-JI01-USADO-</v>
      </c>
      <c r="AA53" s="58" t="str">
        <f>INDEX(ResumoLotesSUPERBID[Sugestão],MATCH(Tabela1[[#This Row],[Lote]],ResumoLotesSUPERBID[LOTES],0))</f>
        <v>Para Leilão</v>
      </c>
      <c r="AB53" s="56">
        <f>INDEX(ResumoLotesSUPERBID[VMA / Comparação],MATCH(Tabela1[[#This Row],[Lote]],ResumoLotesSUPERBID[LOTES],0))</f>
        <v>0.25678846420505458</v>
      </c>
      <c r="AC53" s="59" t="str">
        <f>INDEX(ResumoLotesSUPERBID[Descrição],MATCH(Tabela1[[#This Row],[Lote]],ResumoLotesSUPERBID[LOTES],0))</f>
        <v>1% do Valor de Comparação do VMA</v>
      </c>
    </row>
    <row r="54" spans="1:29" x14ac:dyDescent="0.25">
      <c r="A54" s="20" t="s">
        <v>148</v>
      </c>
      <c r="B54" t="s">
        <v>47</v>
      </c>
      <c r="D54" s="16" t="s">
        <v>126</v>
      </c>
      <c r="E54" t="s">
        <v>61</v>
      </c>
      <c r="F54" s="22">
        <v>11100304</v>
      </c>
      <c r="G54" t="s">
        <v>149</v>
      </c>
      <c r="H54" s="6">
        <v>4419</v>
      </c>
      <c r="J54" s="6" t="s">
        <v>386</v>
      </c>
      <c r="K54" t="s">
        <v>387</v>
      </c>
      <c r="M54">
        <v>7</v>
      </c>
      <c r="N54" t="s">
        <v>391</v>
      </c>
      <c r="O54" s="7">
        <v>1</v>
      </c>
      <c r="P54" s="7">
        <f>Tabela1[[#This Row],[Valor Contábil Unitário]]*Tabela1[[#This Row],[Quantidade]]</f>
        <v>7</v>
      </c>
      <c r="Q54" s="7">
        <v>129794.54</v>
      </c>
      <c r="R54" s="7">
        <f>Tabela1[[#This Row],[Valor de Reposição Unitário]]*Tabela1[[#This Row],[Quantidade]]</f>
        <v>908561.77999999991</v>
      </c>
      <c r="S54" s="48">
        <f>IF(Tabela1[[#This Row],[Valor Contábil Total]]&gt;Tabela1[[#This Row],[Valor total de Reposição]],Tabela1[[#This Row],[Valor Contábil Total]],Tabela1[[#This Row],[Valor total de Reposição]])</f>
        <v>908561.77999999991</v>
      </c>
      <c r="T54" s="7">
        <v>32708.224079999996</v>
      </c>
      <c r="U54" s="7">
        <f>Tabela1[[#This Row],[VMA - Unitário]]*Tabela1[[#This Row],[Quantidade]]</f>
        <v>228957.56855999999</v>
      </c>
      <c r="V54" s="48">
        <f>INDEX(ResumoLotesSUPERBID[VMA Total do Lote],MATCH(Tabela1[[#This Row],[Lote]],ResumoLotesSUPERBID[LOTES],0))</f>
        <v>1769559.6392039999</v>
      </c>
      <c r="W54" s="57">
        <f>Tabela1[[#This Row],[VMA - Total]]/Tabela1[[#This Row],[VMA total do Lote]]</f>
        <v>0.12938674882017079</v>
      </c>
      <c r="X54" t="s">
        <v>392</v>
      </c>
      <c r="Y54" t="s">
        <v>393</v>
      </c>
      <c r="Z54" s="55" t="str">
        <f>Tabela1[[#This Row],[Material]]&amp;"-"&amp;Tabela1[[#This Row],[Centro
Origem]]&amp;"-"&amp;Tabela1[[#This Row],[Depósito]]&amp;"-"&amp;Tabela1[[#This Row],[Tipo de Avaliação]]&amp;"-"&amp;Tabela1[[#This Row],[Elemento PEP]]</f>
        <v>11100304-4419-JI01-USADO-</v>
      </c>
      <c r="AA54" s="58" t="str">
        <f>INDEX(ResumoLotesSUPERBID[Sugestão],MATCH(Tabela1[[#This Row],[Lote]],ResumoLotesSUPERBID[LOTES],0))</f>
        <v>Para Leilão</v>
      </c>
      <c r="AB54" s="56">
        <f>INDEX(ResumoLotesSUPERBID[VMA / Comparação],MATCH(Tabela1[[#This Row],[Lote]],ResumoLotesSUPERBID[LOTES],0))</f>
        <v>0.25678846420505458</v>
      </c>
      <c r="AC54" s="59" t="str">
        <f>INDEX(ResumoLotesSUPERBID[Descrição],MATCH(Tabela1[[#This Row],[Lote]],ResumoLotesSUPERBID[LOTES],0))</f>
        <v>1% do Valor de Comparação do VMA</v>
      </c>
    </row>
    <row r="55" spans="1:29" x14ac:dyDescent="0.25">
      <c r="A55" s="20" t="s">
        <v>150</v>
      </c>
      <c r="B55" t="s">
        <v>47</v>
      </c>
      <c r="D55" s="16" t="s">
        <v>126</v>
      </c>
      <c r="E55" t="s">
        <v>61</v>
      </c>
      <c r="F55" s="22">
        <v>11100625</v>
      </c>
      <c r="G55" t="s">
        <v>151</v>
      </c>
      <c r="H55" s="6">
        <v>4419</v>
      </c>
      <c r="J55" s="6" t="s">
        <v>386</v>
      </c>
      <c r="K55" t="s">
        <v>387</v>
      </c>
      <c r="M55">
        <v>1</v>
      </c>
      <c r="N55" t="s">
        <v>391</v>
      </c>
      <c r="O55" s="7">
        <v>1</v>
      </c>
      <c r="P55" s="7">
        <f>Tabela1[[#This Row],[Valor Contábil Unitário]]*Tabela1[[#This Row],[Quantidade]]</f>
        <v>1</v>
      </c>
      <c r="Q55" s="7">
        <v>146255.29999999999</v>
      </c>
      <c r="R55" s="7">
        <f>Tabela1[[#This Row],[Valor de Reposição Unitário]]*Tabela1[[#This Row],[Quantidade]]</f>
        <v>146255.29999999999</v>
      </c>
      <c r="S55" s="48">
        <f>IF(Tabela1[[#This Row],[Valor Contábil Total]]&gt;Tabela1[[#This Row],[Valor total de Reposição]],Tabela1[[#This Row],[Valor Contábil Total]],Tabela1[[#This Row],[Valor total de Reposição]])</f>
        <v>146255.29999999999</v>
      </c>
      <c r="T55" s="7">
        <v>15356.806499999999</v>
      </c>
      <c r="U55" s="7">
        <f>Tabela1[[#This Row],[VMA - Unitário]]*Tabela1[[#This Row],[Quantidade]]</f>
        <v>15356.806499999999</v>
      </c>
      <c r="V55" s="48">
        <f>INDEX(ResumoLotesSUPERBID[VMA Total do Lote],MATCH(Tabela1[[#This Row],[Lote]],ResumoLotesSUPERBID[LOTES],0))</f>
        <v>1769559.6392039999</v>
      </c>
      <c r="W55" s="57">
        <f>Tabela1[[#This Row],[VMA - Total]]/Tabela1[[#This Row],[VMA total do Lote]]</f>
        <v>8.6783209561153551E-3</v>
      </c>
      <c r="X55" t="s">
        <v>392</v>
      </c>
      <c r="Y55" t="s">
        <v>393</v>
      </c>
      <c r="Z55" s="55" t="str">
        <f>Tabela1[[#This Row],[Material]]&amp;"-"&amp;Tabela1[[#This Row],[Centro
Origem]]&amp;"-"&amp;Tabela1[[#This Row],[Depósito]]&amp;"-"&amp;Tabela1[[#This Row],[Tipo de Avaliação]]&amp;"-"&amp;Tabela1[[#This Row],[Elemento PEP]]</f>
        <v>11100625-4419-JI01-USADO-</v>
      </c>
      <c r="AA55" s="58" t="str">
        <f>INDEX(ResumoLotesSUPERBID[Sugestão],MATCH(Tabela1[[#This Row],[Lote]],ResumoLotesSUPERBID[LOTES],0))</f>
        <v>Para Leilão</v>
      </c>
      <c r="AB55" s="56">
        <f>INDEX(ResumoLotesSUPERBID[VMA / Comparação],MATCH(Tabela1[[#This Row],[Lote]],ResumoLotesSUPERBID[LOTES],0))</f>
        <v>0.25678846420505458</v>
      </c>
      <c r="AC55" s="59" t="str">
        <f>INDEX(ResumoLotesSUPERBID[Descrição],MATCH(Tabela1[[#This Row],[Lote]],ResumoLotesSUPERBID[LOTES],0))</f>
        <v>1% do Valor de Comparação do VMA</v>
      </c>
    </row>
    <row r="56" spans="1:29" x14ac:dyDescent="0.25">
      <c r="A56" s="20" t="s">
        <v>152</v>
      </c>
      <c r="B56" t="s">
        <v>47</v>
      </c>
      <c r="D56" s="16" t="s">
        <v>126</v>
      </c>
      <c r="E56" t="s">
        <v>61</v>
      </c>
      <c r="F56" s="22">
        <v>11146594</v>
      </c>
      <c r="G56" t="s">
        <v>153</v>
      </c>
      <c r="H56" s="6">
        <v>4419</v>
      </c>
      <c r="J56" s="6" t="s">
        <v>386</v>
      </c>
      <c r="K56" t="s">
        <v>387</v>
      </c>
      <c r="M56">
        <v>1</v>
      </c>
      <c r="N56" t="s">
        <v>391</v>
      </c>
      <c r="O56" s="7">
        <v>1</v>
      </c>
      <c r="P56" s="7">
        <f>Tabela1[[#This Row],[Valor Contábil Unitário]]*Tabela1[[#This Row],[Quantidade]]</f>
        <v>1</v>
      </c>
      <c r="Q56" s="7">
        <v>210965.53</v>
      </c>
      <c r="R56" s="7">
        <f>Tabela1[[#This Row],[Valor de Reposição Unitário]]*Tabela1[[#This Row],[Quantidade]]</f>
        <v>210965.53</v>
      </c>
      <c r="S56" s="48">
        <f>IF(Tabela1[[#This Row],[Valor Contábil Total]]&gt;Tabela1[[#This Row],[Valor total de Reposição]],Tabela1[[#This Row],[Valor Contábil Total]],Tabela1[[#This Row],[Valor total de Reposição]])</f>
        <v>210965.53</v>
      </c>
      <c r="T56" s="7">
        <v>53163.313560000002</v>
      </c>
      <c r="U56" s="7">
        <f>Tabela1[[#This Row],[VMA - Unitário]]*Tabela1[[#This Row],[Quantidade]]</f>
        <v>53163.313560000002</v>
      </c>
      <c r="V56" s="48">
        <f>INDEX(ResumoLotesSUPERBID[VMA Total do Lote],MATCH(Tabela1[[#This Row],[Lote]],ResumoLotesSUPERBID[LOTES],0))</f>
        <v>1769559.6392039999</v>
      </c>
      <c r="W56" s="57">
        <f>Tabela1[[#This Row],[VMA - Total]]/Tabela1[[#This Row],[VMA total do Lote]]</f>
        <v>3.0043244874139664E-2</v>
      </c>
      <c r="X56" t="s">
        <v>392</v>
      </c>
      <c r="Y56" t="s">
        <v>393</v>
      </c>
      <c r="Z56" s="55" t="str">
        <f>Tabela1[[#This Row],[Material]]&amp;"-"&amp;Tabela1[[#This Row],[Centro
Origem]]&amp;"-"&amp;Tabela1[[#This Row],[Depósito]]&amp;"-"&amp;Tabela1[[#This Row],[Tipo de Avaliação]]&amp;"-"&amp;Tabela1[[#This Row],[Elemento PEP]]</f>
        <v>11146594-4419-JI01-USADO-</v>
      </c>
      <c r="AA56" s="58" t="str">
        <f>INDEX(ResumoLotesSUPERBID[Sugestão],MATCH(Tabela1[[#This Row],[Lote]],ResumoLotesSUPERBID[LOTES],0))</f>
        <v>Para Leilão</v>
      </c>
      <c r="AB56" s="56">
        <f>INDEX(ResumoLotesSUPERBID[VMA / Comparação],MATCH(Tabela1[[#This Row],[Lote]],ResumoLotesSUPERBID[LOTES],0))</f>
        <v>0.25678846420505458</v>
      </c>
      <c r="AC56" s="59" t="str">
        <f>INDEX(ResumoLotesSUPERBID[Descrição],MATCH(Tabela1[[#This Row],[Lote]],ResumoLotesSUPERBID[LOTES],0))</f>
        <v>1% do Valor de Comparação do VMA</v>
      </c>
    </row>
    <row r="57" spans="1:29" x14ac:dyDescent="0.25">
      <c r="A57" s="20" t="s">
        <v>154</v>
      </c>
      <c r="B57" t="s">
        <v>47</v>
      </c>
      <c r="D57" s="16" t="s">
        <v>126</v>
      </c>
      <c r="E57" t="s">
        <v>61</v>
      </c>
      <c r="F57" s="22">
        <v>11153816</v>
      </c>
      <c r="G57" t="s">
        <v>155</v>
      </c>
      <c r="H57" s="6">
        <v>4419</v>
      </c>
      <c r="J57" s="6" t="s">
        <v>386</v>
      </c>
      <c r="K57" t="s">
        <v>387</v>
      </c>
      <c r="M57">
        <v>1</v>
      </c>
      <c r="N57" t="s">
        <v>391</v>
      </c>
      <c r="O57" s="7">
        <v>1</v>
      </c>
      <c r="P57" s="7">
        <f>Tabela1[[#This Row],[Valor Contábil Unitário]]*Tabela1[[#This Row],[Quantidade]]</f>
        <v>1</v>
      </c>
      <c r="Q57" s="7">
        <v>342222.48</v>
      </c>
      <c r="R57" s="7">
        <f>Tabela1[[#This Row],[Valor de Reposição Unitário]]*Tabela1[[#This Row],[Quantidade]]</f>
        <v>342222.48</v>
      </c>
      <c r="S57" s="48">
        <f>IF(Tabela1[[#This Row],[Valor Contábil Total]]&gt;Tabela1[[#This Row],[Valor total de Reposição]],Tabela1[[#This Row],[Valor Contábil Total]],Tabela1[[#This Row],[Valor total de Reposição]])</f>
        <v>342222.48</v>
      </c>
      <c r="T57" s="7">
        <v>86240.064959999989</v>
      </c>
      <c r="U57" s="7">
        <f>Tabela1[[#This Row],[VMA - Unitário]]*Tabela1[[#This Row],[Quantidade]]</f>
        <v>86240.064959999989</v>
      </c>
      <c r="V57" s="48">
        <f>INDEX(ResumoLotesSUPERBID[VMA Total do Lote],MATCH(Tabela1[[#This Row],[Lote]],ResumoLotesSUPERBID[LOTES],0))</f>
        <v>1769559.6392039999</v>
      </c>
      <c r="W57" s="57">
        <f>Tabela1[[#This Row],[VMA - Total]]/Tabela1[[#This Row],[VMA total do Lote]]</f>
        <v>4.8735325472722309E-2</v>
      </c>
      <c r="X57" t="s">
        <v>392</v>
      </c>
      <c r="Y57" t="s">
        <v>393</v>
      </c>
      <c r="Z57" s="55" t="str">
        <f>Tabela1[[#This Row],[Material]]&amp;"-"&amp;Tabela1[[#This Row],[Centro
Origem]]&amp;"-"&amp;Tabela1[[#This Row],[Depósito]]&amp;"-"&amp;Tabela1[[#This Row],[Tipo de Avaliação]]&amp;"-"&amp;Tabela1[[#This Row],[Elemento PEP]]</f>
        <v>11153816-4419-JI01-USADO-</v>
      </c>
      <c r="AA57" s="58" t="str">
        <f>INDEX(ResumoLotesSUPERBID[Sugestão],MATCH(Tabela1[[#This Row],[Lote]],ResumoLotesSUPERBID[LOTES],0))</f>
        <v>Para Leilão</v>
      </c>
      <c r="AB57" s="56">
        <f>INDEX(ResumoLotesSUPERBID[VMA / Comparação],MATCH(Tabela1[[#This Row],[Lote]],ResumoLotesSUPERBID[LOTES],0))</f>
        <v>0.25678846420505458</v>
      </c>
      <c r="AC57" s="59" t="str">
        <f>INDEX(ResumoLotesSUPERBID[Descrição],MATCH(Tabela1[[#This Row],[Lote]],ResumoLotesSUPERBID[LOTES],0))</f>
        <v>1% do Valor de Comparação do VMA</v>
      </c>
    </row>
    <row r="58" spans="1:29" x14ac:dyDescent="0.25">
      <c r="A58" s="20" t="s">
        <v>156</v>
      </c>
      <c r="B58" t="s">
        <v>47</v>
      </c>
      <c r="D58" s="16" t="s">
        <v>126</v>
      </c>
      <c r="E58" t="s">
        <v>61</v>
      </c>
      <c r="F58" s="22">
        <v>11189903</v>
      </c>
      <c r="G58" t="s">
        <v>157</v>
      </c>
      <c r="H58" s="6">
        <v>4419</v>
      </c>
      <c r="J58" s="6" t="s">
        <v>386</v>
      </c>
      <c r="K58" t="s">
        <v>387</v>
      </c>
      <c r="M58">
        <v>1</v>
      </c>
      <c r="N58" t="s">
        <v>391</v>
      </c>
      <c r="O58" s="7">
        <v>1</v>
      </c>
      <c r="P58" s="7">
        <f>Tabela1[[#This Row],[Valor Contábil Unitário]]*Tabela1[[#This Row],[Quantidade]]</f>
        <v>1</v>
      </c>
      <c r="Q58" s="7">
        <v>193616.66</v>
      </c>
      <c r="R58" s="7">
        <f>Tabela1[[#This Row],[Valor de Reposição Unitário]]*Tabela1[[#This Row],[Quantidade]]</f>
        <v>193616.66</v>
      </c>
      <c r="S58" s="48">
        <f>IF(Tabela1[[#This Row],[Valor Contábil Total]]&gt;Tabela1[[#This Row],[Valor total de Reposição]],Tabela1[[#This Row],[Valor Contábil Total]],Tabela1[[#This Row],[Valor total de Reposição]])</f>
        <v>193616.66</v>
      </c>
      <c r="T58" s="7">
        <v>48791.39832</v>
      </c>
      <c r="U58" s="7">
        <f>Tabela1[[#This Row],[VMA - Unitário]]*Tabela1[[#This Row],[Quantidade]]</f>
        <v>48791.39832</v>
      </c>
      <c r="V58" s="48">
        <f>INDEX(ResumoLotesSUPERBID[VMA Total do Lote],MATCH(Tabela1[[#This Row],[Lote]],ResumoLotesSUPERBID[LOTES],0))</f>
        <v>1769559.6392039999</v>
      </c>
      <c r="W58" s="57">
        <f>Tabela1[[#This Row],[VMA - Total]]/Tabela1[[#This Row],[VMA total do Lote]]</f>
        <v>2.7572621594120338E-2</v>
      </c>
      <c r="X58" t="s">
        <v>392</v>
      </c>
      <c r="Y58" t="s">
        <v>393</v>
      </c>
      <c r="Z58" s="55" t="str">
        <f>Tabela1[[#This Row],[Material]]&amp;"-"&amp;Tabela1[[#This Row],[Centro
Origem]]&amp;"-"&amp;Tabela1[[#This Row],[Depósito]]&amp;"-"&amp;Tabela1[[#This Row],[Tipo de Avaliação]]&amp;"-"&amp;Tabela1[[#This Row],[Elemento PEP]]</f>
        <v>11189903-4419-JI01-USADO-</v>
      </c>
      <c r="AA58" s="58" t="str">
        <f>INDEX(ResumoLotesSUPERBID[Sugestão],MATCH(Tabela1[[#This Row],[Lote]],ResumoLotesSUPERBID[LOTES],0))</f>
        <v>Para Leilão</v>
      </c>
      <c r="AB58" s="56">
        <f>INDEX(ResumoLotesSUPERBID[VMA / Comparação],MATCH(Tabela1[[#This Row],[Lote]],ResumoLotesSUPERBID[LOTES],0))</f>
        <v>0.25678846420505458</v>
      </c>
      <c r="AC58" s="59" t="str">
        <f>INDEX(ResumoLotesSUPERBID[Descrição],MATCH(Tabela1[[#This Row],[Lote]],ResumoLotesSUPERBID[LOTES],0))</f>
        <v>1% do Valor de Comparação do VMA</v>
      </c>
    </row>
    <row r="59" spans="1:29" x14ac:dyDescent="0.25">
      <c r="A59" s="20" t="s">
        <v>158</v>
      </c>
      <c r="B59" t="s">
        <v>47</v>
      </c>
      <c r="D59" s="16" t="s">
        <v>126</v>
      </c>
      <c r="E59" t="s">
        <v>61</v>
      </c>
      <c r="F59" s="22">
        <v>11203827</v>
      </c>
      <c r="G59" t="s">
        <v>159</v>
      </c>
      <c r="H59" s="6">
        <v>4419</v>
      </c>
      <c r="J59" s="6" t="s">
        <v>386</v>
      </c>
      <c r="K59" t="s">
        <v>387</v>
      </c>
      <c r="M59">
        <v>1</v>
      </c>
      <c r="N59" t="s">
        <v>391</v>
      </c>
      <c r="O59" s="7">
        <v>1</v>
      </c>
      <c r="P59" s="7">
        <f>Tabela1[[#This Row],[Valor Contábil Unitário]]*Tabela1[[#This Row],[Quantidade]]</f>
        <v>1</v>
      </c>
      <c r="Q59" s="7">
        <v>182748.17</v>
      </c>
      <c r="R59" s="7">
        <f>Tabela1[[#This Row],[Valor de Reposição Unitário]]*Tabela1[[#This Row],[Quantidade]]</f>
        <v>182748.17</v>
      </c>
      <c r="S59" s="48">
        <f>IF(Tabela1[[#This Row],[Valor Contábil Total]]&gt;Tabela1[[#This Row],[Valor total de Reposição]],Tabela1[[#This Row],[Valor Contábil Total]],Tabela1[[#This Row],[Valor total de Reposição]])</f>
        <v>182748.17</v>
      </c>
      <c r="T59" s="7">
        <v>46052.538840000001</v>
      </c>
      <c r="U59" s="7">
        <f>Tabela1[[#This Row],[VMA - Unitário]]*Tabela1[[#This Row],[Quantidade]]</f>
        <v>46052.538840000001</v>
      </c>
      <c r="V59" s="48">
        <f>INDEX(ResumoLotesSUPERBID[VMA Total do Lote],MATCH(Tabela1[[#This Row],[Lote]],ResumoLotesSUPERBID[LOTES],0))</f>
        <v>1769559.6392039999</v>
      </c>
      <c r="W59" s="57">
        <f>Tabela1[[#This Row],[VMA - Total]]/Tabela1[[#This Row],[VMA total do Lote]]</f>
        <v>2.6024858286616319E-2</v>
      </c>
      <c r="X59" t="s">
        <v>392</v>
      </c>
      <c r="Y59" t="s">
        <v>393</v>
      </c>
      <c r="Z59" s="55" t="str">
        <f>Tabela1[[#This Row],[Material]]&amp;"-"&amp;Tabela1[[#This Row],[Centro
Origem]]&amp;"-"&amp;Tabela1[[#This Row],[Depósito]]&amp;"-"&amp;Tabela1[[#This Row],[Tipo de Avaliação]]&amp;"-"&amp;Tabela1[[#This Row],[Elemento PEP]]</f>
        <v>11203827-4419-JI01-USADO-</v>
      </c>
      <c r="AA59" s="58" t="str">
        <f>INDEX(ResumoLotesSUPERBID[Sugestão],MATCH(Tabela1[[#This Row],[Lote]],ResumoLotesSUPERBID[LOTES],0))</f>
        <v>Para Leilão</v>
      </c>
      <c r="AB59" s="56">
        <f>INDEX(ResumoLotesSUPERBID[VMA / Comparação],MATCH(Tabela1[[#This Row],[Lote]],ResumoLotesSUPERBID[LOTES],0))</f>
        <v>0.25678846420505458</v>
      </c>
      <c r="AC59" s="59" t="str">
        <f>INDEX(ResumoLotesSUPERBID[Descrição],MATCH(Tabela1[[#This Row],[Lote]],ResumoLotesSUPERBID[LOTES],0))</f>
        <v>1% do Valor de Comparação do VMA</v>
      </c>
    </row>
    <row r="60" spans="1:29" x14ac:dyDescent="0.25">
      <c r="A60" s="20" t="s">
        <v>160</v>
      </c>
      <c r="B60" t="s">
        <v>47</v>
      </c>
      <c r="D60" s="16" t="s">
        <v>126</v>
      </c>
      <c r="E60" t="s">
        <v>61</v>
      </c>
      <c r="F60" s="22">
        <v>11230057</v>
      </c>
      <c r="G60" t="s">
        <v>161</v>
      </c>
      <c r="H60" s="6">
        <v>4419</v>
      </c>
      <c r="J60" s="6" t="s">
        <v>386</v>
      </c>
      <c r="K60" t="s">
        <v>387</v>
      </c>
      <c r="M60">
        <v>1</v>
      </c>
      <c r="N60" t="s">
        <v>391</v>
      </c>
      <c r="O60" s="7">
        <v>1</v>
      </c>
      <c r="P60" s="7">
        <f>Tabela1[[#This Row],[Valor Contábil Unitário]]*Tabela1[[#This Row],[Quantidade]]</f>
        <v>1</v>
      </c>
      <c r="Q60" s="7">
        <v>483451.67</v>
      </c>
      <c r="R60" s="7">
        <f>Tabela1[[#This Row],[Valor de Reposição Unitário]]*Tabela1[[#This Row],[Quantidade]]</f>
        <v>483451.67</v>
      </c>
      <c r="S60" s="48">
        <f>IF(Tabela1[[#This Row],[Valor Contábil Total]]&gt;Tabela1[[#This Row],[Valor total de Reposição]],Tabela1[[#This Row],[Valor Contábil Total]],Tabela1[[#This Row],[Valor total de Reposição]])</f>
        <v>483451.67</v>
      </c>
      <c r="T60" s="7">
        <v>121829.82084</v>
      </c>
      <c r="U60" s="7">
        <f>Tabela1[[#This Row],[VMA - Unitário]]*Tabela1[[#This Row],[Quantidade]]</f>
        <v>121829.82084</v>
      </c>
      <c r="V60" s="48">
        <f>INDEX(ResumoLotesSUPERBID[VMA Total do Lote],MATCH(Tabela1[[#This Row],[Lote]],ResumoLotesSUPERBID[LOTES],0))</f>
        <v>1769559.6392039999</v>
      </c>
      <c r="W60" s="57">
        <f>Tabela1[[#This Row],[VMA - Total]]/Tabela1[[#This Row],[VMA total do Lote]]</f>
        <v>6.8847535929787956E-2</v>
      </c>
      <c r="X60" t="s">
        <v>392</v>
      </c>
      <c r="Y60" t="s">
        <v>393</v>
      </c>
      <c r="Z60" s="55" t="str">
        <f>Tabela1[[#This Row],[Material]]&amp;"-"&amp;Tabela1[[#This Row],[Centro
Origem]]&amp;"-"&amp;Tabela1[[#This Row],[Depósito]]&amp;"-"&amp;Tabela1[[#This Row],[Tipo de Avaliação]]&amp;"-"&amp;Tabela1[[#This Row],[Elemento PEP]]</f>
        <v>11230057-4419-JI01-USADO-</v>
      </c>
      <c r="AA60" s="58" t="str">
        <f>INDEX(ResumoLotesSUPERBID[Sugestão],MATCH(Tabela1[[#This Row],[Lote]],ResumoLotesSUPERBID[LOTES],0))</f>
        <v>Para Leilão</v>
      </c>
      <c r="AB60" s="56">
        <f>INDEX(ResumoLotesSUPERBID[VMA / Comparação],MATCH(Tabela1[[#This Row],[Lote]],ResumoLotesSUPERBID[LOTES],0))</f>
        <v>0.25678846420505458</v>
      </c>
      <c r="AC60" s="59" t="str">
        <f>INDEX(ResumoLotesSUPERBID[Descrição],MATCH(Tabela1[[#This Row],[Lote]],ResumoLotesSUPERBID[LOTES],0))</f>
        <v>1% do Valor de Comparação do VMA</v>
      </c>
    </row>
    <row r="61" spans="1:29" x14ac:dyDescent="0.25">
      <c r="A61" s="20" t="s">
        <v>162</v>
      </c>
      <c r="B61" t="s">
        <v>47</v>
      </c>
      <c r="D61" s="16" t="s">
        <v>126</v>
      </c>
      <c r="E61" t="s">
        <v>61</v>
      </c>
      <c r="F61" s="22">
        <v>11238606</v>
      </c>
      <c r="G61" t="s">
        <v>163</v>
      </c>
      <c r="H61" s="6">
        <v>4419</v>
      </c>
      <c r="J61" s="6" t="s">
        <v>386</v>
      </c>
      <c r="K61" t="s">
        <v>387</v>
      </c>
      <c r="M61">
        <v>3</v>
      </c>
      <c r="N61" t="s">
        <v>391</v>
      </c>
      <c r="O61" s="7">
        <v>1</v>
      </c>
      <c r="P61" s="7">
        <f>Tabela1[[#This Row],[Valor Contábil Unitário]]*Tabela1[[#This Row],[Quantidade]]</f>
        <v>3</v>
      </c>
      <c r="Q61" s="7">
        <v>219387.89</v>
      </c>
      <c r="R61" s="7">
        <f>Tabela1[[#This Row],[Valor de Reposição Unitário]]*Tabela1[[#This Row],[Quantidade]]</f>
        <v>658163.67000000004</v>
      </c>
      <c r="S61" s="48">
        <f>IF(Tabela1[[#This Row],[Valor Contábil Total]]&gt;Tabela1[[#This Row],[Valor total de Reposição]],Tabela1[[#This Row],[Valor Contábil Total]],Tabela1[[#This Row],[Valor total de Reposição]])</f>
        <v>658163.67000000004</v>
      </c>
      <c r="T61" s="7">
        <v>55285.74828</v>
      </c>
      <c r="U61" s="7">
        <f>Tabela1[[#This Row],[VMA - Unitário]]*Tabela1[[#This Row],[Quantidade]]</f>
        <v>165857.24484</v>
      </c>
      <c r="V61" s="48">
        <f>INDEX(ResumoLotesSUPERBID[VMA Total do Lote],MATCH(Tabela1[[#This Row],[Lote]],ResumoLotesSUPERBID[LOTES],0))</f>
        <v>1769559.6392039999</v>
      </c>
      <c r="W61" s="57">
        <f>Tabela1[[#This Row],[VMA - Total]]/Tabela1[[#This Row],[VMA total do Lote]]</f>
        <v>9.3727976817219616E-2</v>
      </c>
      <c r="X61" t="s">
        <v>392</v>
      </c>
      <c r="Y61" t="s">
        <v>393</v>
      </c>
      <c r="Z61" s="55" t="str">
        <f>Tabela1[[#This Row],[Material]]&amp;"-"&amp;Tabela1[[#This Row],[Centro
Origem]]&amp;"-"&amp;Tabela1[[#This Row],[Depósito]]&amp;"-"&amp;Tabela1[[#This Row],[Tipo de Avaliação]]&amp;"-"&amp;Tabela1[[#This Row],[Elemento PEP]]</f>
        <v>11238606-4419-JI01-USADO-</v>
      </c>
      <c r="AA61" s="58" t="str">
        <f>INDEX(ResumoLotesSUPERBID[Sugestão],MATCH(Tabela1[[#This Row],[Lote]],ResumoLotesSUPERBID[LOTES],0))</f>
        <v>Para Leilão</v>
      </c>
      <c r="AB61" s="56">
        <f>INDEX(ResumoLotesSUPERBID[VMA / Comparação],MATCH(Tabela1[[#This Row],[Lote]],ResumoLotesSUPERBID[LOTES],0))</f>
        <v>0.25678846420505458</v>
      </c>
      <c r="AC61" s="59" t="str">
        <f>INDEX(ResumoLotesSUPERBID[Descrição],MATCH(Tabela1[[#This Row],[Lote]],ResumoLotesSUPERBID[LOTES],0))</f>
        <v>1% do Valor de Comparação do VMA</v>
      </c>
    </row>
    <row r="62" spans="1:29" x14ac:dyDescent="0.25">
      <c r="A62" s="20" t="s">
        <v>164</v>
      </c>
      <c r="B62" t="s">
        <v>47</v>
      </c>
      <c r="D62" s="16" t="s">
        <v>126</v>
      </c>
      <c r="E62" t="s">
        <v>61</v>
      </c>
      <c r="F62" s="22">
        <v>11293241</v>
      </c>
      <c r="G62" t="s">
        <v>165</v>
      </c>
      <c r="H62" s="6">
        <v>4419</v>
      </c>
      <c r="J62" s="6" t="s">
        <v>386</v>
      </c>
      <c r="K62" t="s">
        <v>387</v>
      </c>
      <c r="M62">
        <v>1</v>
      </c>
      <c r="N62" t="s">
        <v>391</v>
      </c>
      <c r="O62" s="7">
        <v>1</v>
      </c>
      <c r="P62" s="7">
        <f>Tabela1[[#This Row],[Valor Contábil Unitário]]*Tabela1[[#This Row],[Quantidade]]</f>
        <v>1</v>
      </c>
      <c r="Q62" s="7">
        <v>106177.57</v>
      </c>
      <c r="R62" s="7">
        <f>Tabela1[[#This Row],[Valor de Reposição Unitário]]*Tabela1[[#This Row],[Quantidade]]</f>
        <v>106177.57</v>
      </c>
      <c r="S62" s="48">
        <f>IF(Tabela1[[#This Row],[Valor Contábil Total]]&gt;Tabela1[[#This Row],[Valor total de Reposição]],Tabela1[[#This Row],[Valor Contábil Total]],Tabela1[[#This Row],[Valor total de Reposição]])</f>
        <v>106177.57</v>
      </c>
      <c r="T62" s="7">
        <v>26756.747640000001</v>
      </c>
      <c r="U62" s="7">
        <f>Tabela1[[#This Row],[VMA - Unitário]]*Tabela1[[#This Row],[Quantidade]]</f>
        <v>26756.747640000001</v>
      </c>
      <c r="V62" s="48">
        <f>INDEX(ResumoLotesSUPERBID[VMA Total do Lote],MATCH(Tabela1[[#This Row],[Lote]],ResumoLotesSUPERBID[LOTES],0))</f>
        <v>1769559.6392039999</v>
      </c>
      <c r="W62" s="57">
        <f>Tabela1[[#This Row],[VMA - Total]]/Tabela1[[#This Row],[VMA total do Lote]]</f>
        <v>1.512056844381689E-2</v>
      </c>
      <c r="X62" t="s">
        <v>392</v>
      </c>
      <c r="Y62" t="s">
        <v>393</v>
      </c>
      <c r="Z62" s="55" t="str">
        <f>Tabela1[[#This Row],[Material]]&amp;"-"&amp;Tabela1[[#This Row],[Centro
Origem]]&amp;"-"&amp;Tabela1[[#This Row],[Depósito]]&amp;"-"&amp;Tabela1[[#This Row],[Tipo de Avaliação]]&amp;"-"&amp;Tabela1[[#This Row],[Elemento PEP]]</f>
        <v>11293241-4419-JI01-USADO-</v>
      </c>
      <c r="AA62" s="58" t="str">
        <f>INDEX(ResumoLotesSUPERBID[Sugestão],MATCH(Tabela1[[#This Row],[Lote]],ResumoLotesSUPERBID[LOTES],0))</f>
        <v>Para Leilão</v>
      </c>
      <c r="AB62" s="56">
        <f>INDEX(ResumoLotesSUPERBID[VMA / Comparação],MATCH(Tabela1[[#This Row],[Lote]],ResumoLotesSUPERBID[LOTES],0))</f>
        <v>0.25678846420505458</v>
      </c>
      <c r="AC62" s="59" t="str">
        <f>INDEX(ResumoLotesSUPERBID[Descrição],MATCH(Tabela1[[#This Row],[Lote]],ResumoLotesSUPERBID[LOTES],0))</f>
        <v>1% do Valor de Comparação do VMA</v>
      </c>
    </row>
    <row r="63" spans="1:29" x14ac:dyDescent="0.25">
      <c r="A63" s="20" t="s">
        <v>166</v>
      </c>
      <c r="B63" t="s">
        <v>47</v>
      </c>
      <c r="D63" s="16" t="s">
        <v>126</v>
      </c>
      <c r="E63" t="s">
        <v>61</v>
      </c>
      <c r="F63" s="22">
        <v>11321110</v>
      </c>
      <c r="G63" t="s">
        <v>167</v>
      </c>
      <c r="H63" s="6">
        <v>4419</v>
      </c>
      <c r="J63" s="6" t="s">
        <v>386</v>
      </c>
      <c r="K63" t="s">
        <v>387</v>
      </c>
      <c r="M63">
        <v>3</v>
      </c>
      <c r="N63" t="s">
        <v>391</v>
      </c>
      <c r="O63" s="7">
        <v>1</v>
      </c>
      <c r="P63" s="7">
        <f>Tabela1[[#This Row],[Valor Contábil Unitário]]*Tabela1[[#This Row],[Quantidade]]</f>
        <v>3</v>
      </c>
      <c r="Q63" s="7">
        <v>145496.57999999999</v>
      </c>
      <c r="R63" s="7">
        <f>Tabela1[[#This Row],[Valor de Reposição Unitário]]*Tabela1[[#This Row],[Quantidade]]</f>
        <v>436489.74</v>
      </c>
      <c r="S63" s="48">
        <f>IF(Tabela1[[#This Row],[Valor Contábil Total]]&gt;Tabela1[[#This Row],[Valor total de Reposição]],Tabela1[[#This Row],[Valor Contábil Total]],Tabela1[[#This Row],[Valor total de Reposição]])</f>
        <v>436489.74</v>
      </c>
      <c r="T63" s="7">
        <v>36665.138159999995</v>
      </c>
      <c r="U63" s="7">
        <f>Tabela1[[#This Row],[VMA - Unitário]]*Tabela1[[#This Row],[Quantidade]]</f>
        <v>109995.41447999998</v>
      </c>
      <c r="V63" s="48">
        <f>INDEX(ResumoLotesSUPERBID[VMA Total do Lote],MATCH(Tabela1[[#This Row],[Lote]],ResumoLotesSUPERBID[LOTES],0))</f>
        <v>1769559.6392039999</v>
      </c>
      <c r="W63" s="57">
        <f>Tabela1[[#This Row],[VMA - Total]]/Tabela1[[#This Row],[VMA total do Lote]]</f>
        <v>6.2159766782135223E-2</v>
      </c>
      <c r="X63" t="s">
        <v>392</v>
      </c>
      <c r="Y63" t="s">
        <v>393</v>
      </c>
      <c r="Z63" s="55" t="str">
        <f>Tabela1[[#This Row],[Material]]&amp;"-"&amp;Tabela1[[#This Row],[Centro
Origem]]&amp;"-"&amp;Tabela1[[#This Row],[Depósito]]&amp;"-"&amp;Tabela1[[#This Row],[Tipo de Avaliação]]&amp;"-"&amp;Tabela1[[#This Row],[Elemento PEP]]</f>
        <v>11321110-4419-JI01-USADO-</v>
      </c>
      <c r="AA63" s="58" t="str">
        <f>INDEX(ResumoLotesSUPERBID[Sugestão],MATCH(Tabela1[[#This Row],[Lote]],ResumoLotesSUPERBID[LOTES],0))</f>
        <v>Para Leilão</v>
      </c>
      <c r="AB63" s="56">
        <f>INDEX(ResumoLotesSUPERBID[VMA / Comparação],MATCH(Tabela1[[#This Row],[Lote]],ResumoLotesSUPERBID[LOTES],0))</f>
        <v>0.25678846420505458</v>
      </c>
      <c r="AC63" s="59" t="str">
        <f>INDEX(ResumoLotesSUPERBID[Descrição],MATCH(Tabela1[[#This Row],[Lote]],ResumoLotesSUPERBID[LOTES],0))</f>
        <v>1% do Valor de Comparação do VMA</v>
      </c>
    </row>
    <row r="64" spans="1:29" x14ac:dyDescent="0.25">
      <c r="A64" s="20" t="s">
        <v>168</v>
      </c>
      <c r="B64" t="s">
        <v>47</v>
      </c>
      <c r="D64" s="16" t="s">
        <v>126</v>
      </c>
      <c r="E64" t="s">
        <v>61</v>
      </c>
      <c r="F64" s="22">
        <v>11322466</v>
      </c>
      <c r="G64" t="s">
        <v>169</v>
      </c>
      <c r="H64" s="6">
        <v>4419</v>
      </c>
      <c r="J64" s="6" t="s">
        <v>386</v>
      </c>
      <c r="K64" t="s">
        <v>387</v>
      </c>
      <c r="M64">
        <v>2</v>
      </c>
      <c r="N64" t="s">
        <v>391</v>
      </c>
      <c r="O64" s="7">
        <v>1</v>
      </c>
      <c r="P64" s="7">
        <f>Tabela1[[#This Row],[Valor Contábil Unitário]]*Tabela1[[#This Row],[Quantidade]]</f>
        <v>2</v>
      </c>
      <c r="Q64" s="7">
        <v>144822.12599999999</v>
      </c>
      <c r="R64" s="7">
        <f>Tabela1[[#This Row],[Valor de Reposição Unitário]]*Tabela1[[#This Row],[Quantidade]]</f>
        <v>289644.25199999998</v>
      </c>
      <c r="S64" s="48">
        <f>IF(Tabela1[[#This Row],[Valor Contábil Total]]&gt;Tabela1[[#This Row],[Valor total de Reposição]],Tabela1[[#This Row],[Valor Contábil Total]],Tabela1[[#This Row],[Valor total de Reposição]])</f>
        <v>289644.25199999998</v>
      </c>
      <c r="T64" s="7">
        <v>36495.175751999996</v>
      </c>
      <c r="U64" s="7">
        <f>Tabela1[[#This Row],[VMA - Unitário]]*Tabela1[[#This Row],[Quantidade]]</f>
        <v>72990.351503999991</v>
      </c>
      <c r="V64" s="48">
        <f>INDEX(ResumoLotesSUPERBID[VMA Total do Lote],MATCH(Tabela1[[#This Row],[Lote]],ResumoLotesSUPERBID[LOTES],0))</f>
        <v>1769559.6392039999</v>
      </c>
      <c r="W64" s="57">
        <f>Tabela1[[#This Row],[VMA - Total]]/Tabela1[[#This Row],[VMA total do Lote]]</f>
        <v>4.1247748811016734E-2</v>
      </c>
      <c r="X64" t="s">
        <v>392</v>
      </c>
      <c r="Y64" t="s">
        <v>393</v>
      </c>
      <c r="Z64" s="55" t="str">
        <f>Tabela1[[#This Row],[Material]]&amp;"-"&amp;Tabela1[[#This Row],[Centro
Origem]]&amp;"-"&amp;Tabela1[[#This Row],[Depósito]]&amp;"-"&amp;Tabela1[[#This Row],[Tipo de Avaliação]]&amp;"-"&amp;Tabela1[[#This Row],[Elemento PEP]]</f>
        <v>11322466-4419-JI01-USADO-</v>
      </c>
      <c r="AA64" s="58" t="str">
        <f>INDEX(ResumoLotesSUPERBID[Sugestão],MATCH(Tabela1[[#This Row],[Lote]],ResumoLotesSUPERBID[LOTES],0))</f>
        <v>Para Leilão</v>
      </c>
      <c r="AB64" s="56">
        <f>INDEX(ResumoLotesSUPERBID[VMA / Comparação],MATCH(Tabela1[[#This Row],[Lote]],ResumoLotesSUPERBID[LOTES],0))</f>
        <v>0.25678846420505458</v>
      </c>
      <c r="AC64" s="59" t="str">
        <f>INDEX(ResumoLotesSUPERBID[Descrição],MATCH(Tabela1[[#This Row],[Lote]],ResumoLotesSUPERBID[LOTES],0))</f>
        <v>1% do Valor de Comparação do VMA</v>
      </c>
    </row>
    <row r="65" spans="1:29" x14ac:dyDescent="0.25">
      <c r="A65" s="20" t="s">
        <v>170</v>
      </c>
      <c r="B65" t="s">
        <v>47</v>
      </c>
      <c r="D65" s="16" t="s">
        <v>126</v>
      </c>
      <c r="E65" t="s">
        <v>61</v>
      </c>
      <c r="F65" s="22">
        <v>11340716</v>
      </c>
      <c r="G65" t="s">
        <v>171</v>
      </c>
      <c r="H65" s="6">
        <v>4419</v>
      </c>
      <c r="J65" s="6" t="s">
        <v>386</v>
      </c>
      <c r="K65" t="s">
        <v>387</v>
      </c>
      <c r="M65">
        <v>1</v>
      </c>
      <c r="N65" t="s">
        <v>391</v>
      </c>
      <c r="O65" s="7">
        <v>1</v>
      </c>
      <c r="P65" s="7">
        <f>Tabela1[[#This Row],[Valor Contábil Unitário]]*Tabela1[[#This Row],[Quantidade]]</f>
        <v>1</v>
      </c>
      <c r="Q65" s="7">
        <v>372623.46</v>
      </c>
      <c r="R65" s="7">
        <f>Tabela1[[#This Row],[Valor de Reposição Unitário]]*Tabela1[[#This Row],[Quantidade]]</f>
        <v>372623.46</v>
      </c>
      <c r="S65" s="48">
        <f>IF(Tabela1[[#This Row],[Valor Contábil Total]]&gt;Tabela1[[#This Row],[Valor total de Reposição]],Tabela1[[#This Row],[Valor Contábil Total]],Tabela1[[#This Row],[Valor total de Reposição]])</f>
        <v>372623.46</v>
      </c>
      <c r="T65" s="7">
        <v>93901.11192000001</v>
      </c>
      <c r="U65" s="7">
        <f>Tabela1[[#This Row],[VMA - Unitário]]*Tabela1[[#This Row],[Quantidade]]</f>
        <v>93901.11192000001</v>
      </c>
      <c r="V65" s="48">
        <f>INDEX(ResumoLotesSUPERBID[VMA Total do Lote],MATCH(Tabela1[[#This Row],[Lote]],ResumoLotesSUPERBID[LOTES],0))</f>
        <v>1769559.6392039999</v>
      </c>
      <c r="W65" s="57">
        <f>Tabela1[[#This Row],[VMA - Total]]/Tabela1[[#This Row],[VMA total do Lote]]</f>
        <v>5.3064677697011391E-2</v>
      </c>
      <c r="X65" t="s">
        <v>392</v>
      </c>
      <c r="Y65" t="s">
        <v>393</v>
      </c>
      <c r="Z65" s="55" t="str">
        <f>Tabela1[[#This Row],[Material]]&amp;"-"&amp;Tabela1[[#This Row],[Centro
Origem]]&amp;"-"&amp;Tabela1[[#This Row],[Depósito]]&amp;"-"&amp;Tabela1[[#This Row],[Tipo de Avaliação]]&amp;"-"&amp;Tabela1[[#This Row],[Elemento PEP]]</f>
        <v>11340716-4419-JI01-USADO-</v>
      </c>
      <c r="AA65" s="58" t="str">
        <f>INDEX(ResumoLotesSUPERBID[Sugestão],MATCH(Tabela1[[#This Row],[Lote]],ResumoLotesSUPERBID[LOTES],0))</f>
        <v>Para Leilão</v>
      </c>
      <c r="AB65" s="56">
        <f>INDEX(ResumoLotesSUPERBID[VMA / Comparação],MATCH(Tabela1[[#This Row],[Lote]],ResumoLotesSUPERBID[LOTES],0))</f>
        <v>0.25678846420505458</v>
      </c>
      <c r="AC65" s="59" t="str">
        <f>INDEX(ResumoLotesSUPERBID[Descrição],MATCH(Tabela1[[#This Row],[Lote]],ResumoLotesSUPERBID[LOTES],0))</f>
        <v>1% do Valor de Comparação do VMA</v>
      </c>
    </row>
    <row r="66" spans="1:29" x14ac:dyDescent="0.25">
      <c r="A66" s="20" t="s">
        <v>172</v>
      </c>
      <c r="B66" t="s">
        <v>47</v>
      </c>
      <c r="D66" s="16" t="s">
        <v>126</v>
      </c>
      <c r="E66" t="s">
        <v>61</v>
      </c>
      <c r="F66" s="22">
        <v>10632272</v>
      </c>
      <c r="G66" t="s">
        <v>173</v>
      </c>
      <c r="H66" s="6">
        <v>4419</v>
      </c>
      <c r="J66" s="6" t="s">
        <v>386</v>
      </c>
      <c r="K66" t="s">
        <v>387</v>
      </c>
      <c r="M66">
        <v>1</v>
      </c>
      <c r="N66" t="s">
        <v>391</v>
      </c>
      <c r="O66" s="7">
        <v>1</v>
      </c>
      <c r="P66" s="7">
        <f>Tabela1[[#This Row],[Valor Contábil Unitário]]*Tabela1[[#This Row],[Quantidade]]</f>
        <v>1</v>
      </c>
      <c r="Q66" s="7">
        <v>214763.65</v>
      </c>
      <c r="R66" s="7">
        <f>Tabela1[[#This Row],[Valor de Reposição Unitário]]*Tabela1[[#This Row],[Quantidade]]</f>
        <v>214763.65</v>
      </c>
      <c r="S66" s="48">
        <f>IF(Tabela1[[#This Row],[Valor Contábil Total]]&gt;Tabela1[[#This Row],[Valor total de Reposição]],Tabela1[[#This Row],[Valor Contábil Total]],Tabela1[[#This Row],[Valor total de Reposição]])</f>
        <v>214763.65</v>
      </c>
      <c r="T66" s="7">
        <v>54120.4398</v>
      </c>
      <c r="U66" s="7">
        <f>Tabela1[[#This Row],[VMA - Unitário]]*Tabela1[[#This Row],[Quantidade]]</f>
        <v>54120.4398</v>
      </c>
      <c r="V66" s="48">
        <f>INDEX(ResumoLotesSUPERBID[VMA Total do Lote],MATCH(Tabela1[[#This Row],[Lote]],ResumoLotesSUPERBID[LOTES],0))</f>
        <v>1769559.6392039999</v>
      </c>
      <c r="W66" s="57">
        <f>Tabela1[[#This Row],[VMA - Total]]/Tabela1[[#This Row],[VMA total do Lote]]</f>
        <v>3.0584128729532378E-2</v>
      </c>
      <c r="X66" t="s">
        <v>392</v>
      </c>
      <c r="Y66" t="s">
        <v>393</v>
      </c>
      <c r="Z66" s="55" t="str">
        <f>Tabela1[[#This Row],[Material]]&amp;"-"&amp;Tabela1[[#This Row],[Centro
Origem]]&amp;"-"&amp;Tabela1[[#This Row],[Depósito]]&amp;"-"&amp;Tabela1[[#This Row],[Tipo de Avaliação]]&amp;"-"&amp;Tabela1[[#This Row],[Elemento PEP]]</f>
        <v>10632272-4419-JI01-USADO-</v>
      </c>
      <c r="AA66" s="58" t="str">
        <f>INDEX(ResumoLotesSUPERBID[Sugestão],MATCH(Tabela1[[#This Row],[Lote]],ResumoLotesSUPERBID[LOTES],0))</f>
        <v>Para Leilão</v>
      </c>
      <c r="AB66" s="56">
        <f>INDEX(ResumoLotesSUPERBID[VMA / Comparação],MATCH(Tabela1[[#This Row],[Lote]],ResumoLotesSUPERBID[LOTES],0))</f>
        <v>0.25678846420505458</v>
      </c>
      <c r="AC66" s="59" t="str">
        <f>INDEX(ResumoLotesSUPERBID[Descrição],MATCH(Tabela1[[#This Row],[Lote]],ResumoLotesSUPERBID[LOTES],0))</f>
        <v>1% do Valor de Comparação do VMA</v>
      </c>
    </row>
    <row r="67" spans="1:29" x14ac:dyDescent="0.25">
      <c r="A67" s="20" t="s">
        <v>174</v>
      </c>
      <c r="B67" t="s">
        <v>47</v>
      </c>
      <c r="D67" s="16" t="s">
        <v>175</v>
      </c>
      <c r="E67" t="s">
        <v>61</v>
      </c>
      <c r="F67" s="22">
        <v>10327380</v>
      </c>
      <c r="G67" t="s">
        <v>176</v>
      </c>
      <c r="H67" s="6">
        <v>4419</v>
      </c>
      <c r="J67" s="6" t="s">
        <v>386</v>
      </c>
      <c r="K67" t="s">
        <v>387</v>
      </c>
      <c r="M67">
        <v>1</v>
      </c>
      <c r="N67" t="s">
        <v>391</v>
      </c>
      <c r="O67" s="7">
        <v>1</v>
      </c>
      <c r="P67" s="7">
        <f>Tabela1[[#This Row],[Valor Contábil Unitário]]*Tabela1[[#This Row],[Quantidade]]</f>
        <v>1</v>
      </c>
      <c r="Q67" s="7">
        <v>40007.699999999997</v>
      </c>
      <c r="R67" s="7">
        <f>Tabela1[[#This Row],[Valor de Reposição Unitário]]*Tabela1[[#This Row],[Quantidade]]</f>
        <v>40007.699999999997</v>
      </c>
      <c r="S67" s="48">
        <f>IF(Tabela1[[#This Row],[Valor Contábil Total]]&gt;Tabela1[[#This Row],[Valor total de Reposição]],Tabela1[[#This Row],[Valor Contábil Total]],Tabela1[[#This Row],[Valor total de Reposição]])</f>
        <v>40007.699999999997</v>
      </c>
      <c r="T67" s="7">
        <v>4200.8084999999992</v>
      </c>
      <c r="U67" s="7">
        <f>Tabela1[[#This Row],[VMA - Unitário]]*Tabela1[[#This Row],[Quantidade]]</f>
        <v>4200.8084999999992</v>
      </c>
      <c r="V67" s="48">
        <f>INDEX(ResumoLotesSUPERBID[VMA Total do Lote],MATCH(Tabela1[[#This Row],[Lote]],ResumoLotesSUPERBID[LOTES],0))</f>
        <v>79580.212118399984</v>
      </c>
      <c r="W67" s="57">
        <f>Tabela1[[#This Row],[VMA - Total]]/Tabela1[[#This Row],[VMA total do Lote]]</f>
        <v>5.2787098553469643E-2</v>
      </c>
      <c r="X67" t="s">
        <v>392</v>
      </c>
      <c r="Y67" t="s">
        <v>393</v>
      </c>
      <c r="Z67" s="55" t="str">
        <f>Tabela1[[#This Row],[Material]]&amp;"-"&amp;Tabela1[[#This Row],[Centro
Origem]]&amp;"-"&amp;Tabela1[[#This Row],[Depósito]]&amp;"-"&amp;Tabela1[[#This Row],[Tipo de Avaliação]]&amp;"-"&amp;Tabela1[[#This Row],[Elemento PEP]]</f>
        <v>10327380-4419-JI01-USADO-</v>
      </c>
      <c r="AA67" s="58" t="str">
        <f>INDEX(ResumoLotesSUPERBID[Sugestão],MATCH(Tabela1[[#This Row],[Lote]],ResumoLotesSUPERBID[LOTES],0))</f>
        <v>Para Leilão</v>
      </c>
      <c r="AB67" s="56">
        <f>INDEX(ResumoLotesSUPERBID[VMA / Comparação],MATCH(Tabela1[[#This Row],[Lote]],ResumoLotesSUPERBID[LOTES],0))</f>
        <v>0.16054347522677048</v>
      </c>
      <c r="AC67" s="59" t="str">
        <f>INDEX(ResumoLotesSUPERBID[Descrição],MATCH(Tabela1[[#This Row],[Lote]],ResumoLotesSUPERBID[LOTES],0))</f>
        <v>1% do Valor de Comparação do VMA</v>
      </c>
    </row>
    <row r="68" spans="1:29" x14ac:dyDescent="0.25">
      <c r="A68" s="20" t="s">
        <v>177</v>
      </c>
      <c r="B68" t="s">
        <v>47</v>
      </c>
      <c r="D68" s="16" t="s">
        <v>175</v>
      </c>
      <c r="E68" t="s">
        <v>61</v>
      </c>
      <c r="F68" s="22">
        <v>10328086</v>
      </c>
      <c r="G68" t="s">
        <v>178</v>
      </c>
      <c r="H68" s="6">
        <v>4419</v>
      </c>
      <c r="J68" s="6" t="s">
        <v>386</v>
      </c>
      <c r="K68" t="s">
        <v>387</v>
      </c>
      <c r="M68">
        <v>1</v>
      </c>
      <c r="N68" t="s">
        <v>391</v>
      </c>
      <c r="O68" s="7">
        <v>1</v>
      </c>
      <c r="P68" s="7">
        <f>Tabela1[[#This Row],[Valor Contábil Unitário]]*Tabela1[[#This Row],[Quantidade]]</f>
        <v>1</v>
      </c>
      <c r="Q68" s="7">
        <v>45226.286699999997</v>
      </c>
      <c r="R68" s="7">
        <f>Tabela1[[#This Row],[Valor de Reposição Unitário]]*Tabela1[[#This Row],[Quantidade]]</f>
        <v>45226.286699999997</v>
      </c>
      <c r="S68" s="48">
        <f>IF(Tabela1[[#This Row],[Valor Contábil Total]]&gt;Tabela1[[#This Row],[Valor total de Reposição]],Tabela1[[#This Row],[Valor Contábil Total]],Tabela1[[#This Row],[Valor total de Reposição]])</f>
        <v>45226.286699999997</v>
      </c>
      <c r="T68" s="7">
        <v>11397.024248399999</v>
      </c>
      <c r="U68" s="7">
        <f>Tabela1[[#This Row],[VMA - Unitário]]*Tabela1[[#This Row],[Quantidade]]</f>
        <v>11397.024248399999</v>
      </c>
      <c r="V68" s="48">
        <f>INDEX(ResumoLotesSUPERBID[VMA Total do Lote],MATCH(Tabela1[[#This Row],[Lote]],ResumoLotesSUPERBID[LOTES],0))</f>
        <v>79580.212118399984</v>
      </c>
      <c r="W68" s="57">
        <f>Tabela1[[#This Row],[VMA - Total]]/Tabela1[[#This Row],[VMA total do Lote]]</f>
        <v>0.14321429844197234</v>
      </c>
      <c r="X68" t="s">
        <v>392</v>
      </c>
      <c r="Y68" t="s">
        <v>393</v>
      </c>
      <c r="Z68" s="55" t="str">
        <f>Tabela1[[#This Row],[Material]]&amp;"-"&amp;Tabela1[[#This Row],[Centro
Origem]]&amp;"-"&amp;Tabela1[[#This Row],[Depósito]]&amp;"-"&amp;Tabela1[[#This Row],[Tipo de Avaliação]]&amp;"-"&amp;Tabela1[[#This Row],[Elemento PEP]]</f>
        <v>10328086-4419-JI01-USADO-</v>
      </c>
      <c r="AA68" s="58" t="str">
        <f>INDEX(ResumoLotesSUPERBID[Sugestão],MATCH(Tabela1[[#This Row],[Lote]],ResumoLotesSUPERBID[LOTES],0))</f>
        <v>Para Leilão</v>
      </c>
      <c r="AB68" s="56">
        <f>INDEX(ResumoLotesSUPERBID[VMA / Comparação],MATCH(Tabela1[[#This Row],[Lote]],ResumoLotesSUPERBID[LOTES],0))</f>
        <v>0.16054347522677048</v>
      </c>
      <c r="AC68" s="59" t="str">
        <f>INDEX(ResumoLotesSUPERBID[Descrição],MATCH(Tabela1[[#This Row],[Lote]],ResumoLotesSUPERBID[LOTES],0))</f>
        <v>1% do Valor de Comparação do VMA</v>
      </c>
    </row>
    <row r="69" spans="1:29" x14ac:dyDescent="0.25">
      <c r="A69" s="20" t="s">
        <v>179</v>
      </c>
      <c r="B69" t="s">
        <v>47</v>
      </c>
      <c r="D69" s="16" t="s">
        <v>175</v>
      </c>
      <c r="E69" t="s">
        <v>61</v>
      </c>
      <c r="F69" s="22">
        <v>10563676</v>
      </c>
      <c r="G69" t="s">
        <v>180</v>
      </c>
      <c r="H69" s="6">
        <v>4419</v>
      </c>
      <c r="J69" s="6" t="s">
        <v>386</v>
      </c>
      <c r="K69" t="s">
        <v>387</v>
      </c>
      <c r="M69">
        <v>2</v>
      </c>
      <c r="N69" t="s">
        <v>391</v>
      </c>
      <c r="O69" s="7">
        <v>1</v>
      </c>
      <c r="P69" s="7">
        <f>Tabela1[[#This Row],[Valor Contábil Unitário]]*Tabela1[[#This Row],[Quantidade]]</f>
        <v>2</v>
      </c>
      <c r="Q69" s="7">
        <v>58676</v>
      </c>
      <c r="R69" s="7">
        <f>Tabela1[[#This Row],[Valor de Reposição Unitário]]*Tabela1[[#This Row],[Quantidade]]</f>
        <v>117352</v>
      </c>
      <c r="S69" s="48">
        <f>IF(Tabela1[[#This Row],[Valor Contábil Total]]&gt;Tabela1[[#This Row],[Valor total de Reposição]],Tabela1[[#This Row],[Valor Contábil Total]],Tabela1[[#This Row],[Valor total de Reposição]])</f>
        <v>117352</v>
      </c>
      <c r="T69" s="7">
        <v>6160.98</v>
      </c>
      <c r="U69" s="7">
        <f>Tabela1[[#This Row],[VMA - Unitário]]*Tabela1[[#This Row],[Quantidade]]</f>
        <v>12321.96</v>
      </c>
      <c r="V69" s="48">
        <f>INDEX(ResumoLotesSUPERBID[VMA Total do Lote],MATCH(Tabela1[[#This Row],[Lote]],ResumoLotesSUPERBID[LOTES],0))</f>
        <v>79580.212118399984</v>
      </c>
      <c r="W69" s="57">
        <f>Tabela1[[#This Row],[VMA - Total]]/Tabela1[[#This Row],[VMA total do Lote]]</f>
        <v>0.15483698361682302</v>
      </c>
      <c r="X69" t="s">
        <v>392</v>
      </c>
      <c r="Y69" t="s">
        <v>393</v>
      </c>
      <c r="Z69" s="55" t="str">
        <f>Tabela1[[#This Row],[Material]]&amp;"-"&amp;Tabela1[[#This Row],[Centro
Origem]]&amp;"-"&amp;Tabela1[[#This Row],[Depósito]]&amp;"-"&amp;Tabela1[[#This Row],[Tipo de Avaliação]]&amp;"-"&amp;Tabela1[[#This Row],[Elemento PEP]]</f>
        <v>10563676-4419-JI01-USADO-</v>
      </c>
      <c r="AA69" s="58" t="str">
        <f>INDEX(ResumoLotesSUPERBID[Sugestão],MATCH(Tabela1[[#This Row],[Lote]],ResumoLotesSUPERBID[LOTES],0))</f>
        <v>Para Leilão</v>
      </c>
      <c r="AB69" s="56">
        <f>INDEX(ResumoLotesSUPERBID[VMA / Comparação],MATCH(Tabela1[[#This Row],[Lote]],ResumoLotesSUPERBID[LOTES],0))</f>
        <v>0.16054347522677048</v>
      </c>
      <c r="AC69" s="59" t="str">
        <f>INDEX(ResumoLotesSUPERBID[Descrição],MATCH(Tabela1[[#This Row],[Lote]],ResumoLotesSUPERBID[LOTES],0))</f>
        <v>1% do Valor de Comparação do VMA</v>
      </c>
    </row>
    <row r="70" spans="1:29" x14ac:dyDescent="0.25">
      <c r="A70" s="20" t="s">
        <v>181</v>
      </c>
      <c r="B70" t="s">
        <v>47</v>
      </c>
      <c r="D70" s="16" t="s">
        <v>175</v>
      </c>
      <c r="E70" t="s">
        <v>61</v>
      </c>
      <c r="F70" s="22">
        <v>10585666</v>
      </c>
      <c r="G70" t="s">
        <v>182</v>
      </c>
      <c r="H70" s="6">
        <v>4419</v>
      </c>
      <c r="J70" s="6" t="s">
        <v>386</v>
      </c>
      <c r="K70" t="s">
        <v>387</v>
      </c>
      <c r="M70">
        <v>1</v>
      </c>
      <c r="N70" t="s">
        <v>391</v>
      </c>
      <c r="O70" s="7">
        <v>1</v>
      </c>
      <c r="P70" s="7">
        <f>Tabela1[[#This Row],[Valor Contábil Unitário]]*Tabela1[[#This Row],[Quantidade]]</f>
        <v>1</v>
      </c>
      <c r="Q70" s="7">
        <v>45576</v>
      </c>
      <c r="R70" s="7">
        <f>Tabela1[[#This Row],[Valor de Reposição Unitário]]*Tabela1[[#This Row],[Quantidade]]</f>
        <v>45576</v>
      </c>
      <c r="S70" s="48">
        <f>IF(Tabela1[[#This Row],[Valor Contábil Total]]&gt;Tabela1[[#This Row],[Valor total de Reposição]],Tabela1[[#This Row],[Valor Contábil Total]],Tabela1[[#This Row],[Valor total de Reposição]])</f>
        <v>45576</v>
      </c>
      <c r="T70" s="7">
        <v>4785.4799999999996</v>
      </c>
      <c r="U70" s="7">
        <f>Tabela1[[#This Row],[VMA - Unitário]]*Tabela1[[#This Row],[Quantidade]]</f>
        <v>4785.4799999999996</v>
      </c>
      <c r="V70" s="48">
        <f>INDEX(ResumoLotesSUPERBID[VMA Total do Lote],MATCH(Tabela1[[#This Row],[Lote]],ResumoLotesSUPERBID[LOTES],0))</f>
        <v>79580.212118399984</v>
      </c>
      <c r="W70" s="57">
        <f>Tabela1[[#This Row],[VMA - Total]]/Tabela1[[#This Row],[VMA total do Lote]]</f>
        <v>6.0134044288297821E-2</v>
      </c>
      <c r="X70" t="s">
        <v>392</v>
      </c>
      <c r="Y70" t="s">
        <v>393</v>
      </c>
      <c r="Z70" s="55" t="str">
        <f>Tabela1[[#This Row],[Material]]&amp;"-"&amp;Tabela1[[#This Row],[Centro
Origem]]&amp;"-"&amp;Tabela1[[#This Row],[Depósito]]&amp;"-"&amp;Tabela1[[#This Row],[Tipo de Avaliação]]&amp;"-"&amp;Tabela1[[#This Row],[Elemento PEP]]</f>
        <v>10585666-4419-JI01-USADO-</v>
      </c>
      <c r="AA70" s="58" t="str">
        <f>INDEX(ResumoLotesSUPERBID[Sugestão],MATCH(Tabela1[[#This Row],[Lote]],ResumoLotesSUPERBID[LOTES],0))</f>
        <v>Para Leilão</v>
      </c>
      <c r="AB70" s="56">
        <f>INDEX(ResumoLotesSUPERBID[VMA / Comparação],MATCH(Tabela1[[#This Row],[Lote]],ResumoLotesSUPERBID[LOTES],0))</f>
        <v>0.16054347522677048</v>
      </c>
      <c r="AC70" s="59" t="str">
        <f>INDEX(ResumoLotesSUPERBID[Descrição],MATCH(Tabela1[[#This Row],[Lote]],ResumoLotesSUPERBID[LOTES],0))</f>
        <v>1% do Valor de Comparação do VMA</v>
      </c>
    </row>
    <row r="71" spans="1:29" x14ac:dyDescent="0.25">
      <c r="A71" s="20" t="s">
        <v>183</v>
      </c>
      <c r="B71" t="s">
        <v>47</v>
      </c>
      <c r="D71" s="16" t="s">
        <v>175</v>
      </c>
      <c r="E71" t="s">
        <v>61</v>
      </c>
      <c r="F71" s="22">
        <v>10606002</v>
      </c>
      <c r="G71" t="s">
        <v>184</v>
      </c>
      <c r="H71" s="6">
        <v>4419</v>
      </c>
      <c r="J71" s="6" t="s">
        <v>386</v>
      </c>
      <c r="K71" t="s">
        <v>387</v>
      </c>
      <c r="M71">
        <v>1</v>
      </c>
      <c r="N71" t="s">
        <v>391</v>
      </c>
      <c r="O71" s="7">
        <v>1</v>
      </c>
      <c r="P71" s="7">
        <f>Tabela1[[#This Row],[Valor Contábil Unitário]]*Tabela1[[#This Row],[Quantidade]]</f>
        <v>1</v>
      </c>
      <c r="Q71" s="7">
        <v>47296.639999999999</v>
      </c>
      <c r="R71" s="7">
        <f>Tabela1[[#This Row],[Valor de Reposição Unitário]]*Tabela1[[#This Row],[Quantidade]]</f>
        <v>47296.639999999999</v>
      </c>
      <c r="S71" s="48">
        <f>IF(Tabela1[[#This Row],[Valor Contábil Total]]&gt;Tabela1[[#This Row],[Valor total de Reposição]],Tabela1[[#This Row],[Valor Contábil Total]],Tabela1[[#This Row],[Valor total de Reposição]])</f>
        <v>47296.639999999999</v>
      </c>
      <c r="T71" s="7">
        <v>4966.1471999999994</v>
      </c>
      <c r="U71" s="7">
        <f>Tabela1[[#This Row],[VMA - Unitário]]*Tabela1[[#This Row],[Quantidade]]</f>
        <v>4966.1471999999994</v>
      </c>
      <c r="V71" s="48">
        <f>INDEX(ResumoLotesSUPERBID[VMA Total do Lote],MATCH(Tabela1[[#This Row],[Lote]],ResumoLotesSUPERBID[LOTES],0))</f>
        <v>79580.212118399984</v>
      </c>
      <c r="W71" s="57">
        <f>Tabela1[[#This Row],[VMA - Total]]/Tabela1[[#This Row],[VMA total do Lote]]</f>
        <v>6.2404297096008386E-2</v>
      </c>
      <c r="X71" t="s">
        <v>392</v>
      </c>
      <c r="Y71" t="s">
        <v>393</v>
      </c>
      <c r="Z71" s="55" t="str">
        <f>Tabela1[[#This Row],[Material]]&amp;"-"&amp;Tabela1[[#This Row],[Centro
Origem]]&amp;"-"&amp;Tabela1[[#This Row],[Depósito]]&amp;"-"&amp;Tabela1[[#This Row],[Tipo de Avaliação]]&amp;"-"&amp;Tabela1[[#This Row],[Elemento PEP]]</f>
        <v>10606002-4419-JI01-USADO-</v>
      </c>
      <c r="AA71" s="58" t="str">
        <f>INDEX(ResumoLotesSUPERBID[Sugestão],MATCH(Tabela1[[#This Row],[Lote]],ResumoLotesSUPERBID[LOTES],0))</f>
        <v>Para Leilão</v>
      </c>
      <c r="AB71" s="56">
        <f>INDEX(ResumoLotesSUPERBID[VMA / Comparação],MATCH(Tabela1[[#This Row],[Lote]],ResumoLotesSUPERBID[LOTES],0))</f>
        <v>0.16054347522677048</v>
      </c>
      <c r="AC71" s="59" t="str">
        <f>INDEX(ResumoLotesSUPERBID[Descrição],MATCH(Tabela1[[#This Row],[Lote]],ResumoLotesSUPERBID[LOTES],0))</f>
        <v>1% do Valor de Comparação do VMA</v>
      </c>
    </row>
    <row r="72" spans="1:29" x14ac:dyDescent="0.25">
      <c r="A72" s="20" t="s">
        <v>185</v>
      </c>
      <c r="B72" t="s">
        <v>47</v>
      </c>
      <c r="D72" s="16" t="s">
        <v>175</v>
      </c>
      <c r="E72" t="s">
        <v>61</v>
      </c>
      <c r="F72" s="22">
        <v>11111141</v>
      </c>
      <c r="G72" t="s">
        <v>186</v>
      </c>
      <c r="H72" s="6">
        <v>4419</v>
      </c>
      <c r="J72" s="6" t="s">
        <v>386</v>
      </c>
      <c r="K72" t="s">
        <v>387</v>
      </c>
      <c r="M72">
        <v>2</v>
      </c>
      <c r="N72" t="s">
        <v>391</v>
      </c>
      <c r="O72" s="7">
        <v>1</v>
      </c>
      <c r="P72" s="7">
        <f>Tabela1[[#This Row],[Valor Contábil Unitário]]*Tabela1[[#This Row],[Quantidade]]</f>
        <v>2</v>
      </c>
      <c r="Q72" s="7">
        <v>71034.78</v>
      </c>
      <c r="R72" s="7">
        <f>Tabela1[[#This Row],[Valor de Reposição Unitário]]*Tabela1[[#This Row],[Quantidade]]</f>
        <v>142069.56</v>
      </c>
      <c r="S72" s="48">
        <f>IF(Tabela1[[#This Row],[Valor Contábil Total]]&gt;Tabela1[[#This Row],[Valor total de Reposição]],Tabela1[[#This Row],[Valor Contábil Total]],Tabela1[[#This Row],[Valor total de Reposição]])</f>
        <v>142069.56</v>
      </c>
      <c r="T72" s="7">
        <v>17900.76456</v>
      </c>
      <c r="U72" s="7">
        <f>Tabela1[[#This Row],[VMA - Unitário]]*Tabela1[[#This Row],[Quantidade]]</f>
        <v>35801.529119999999</v>
      </c>
      <c r="V72" s="48">
        <f>INDEX(ResumoLotesSUPERBID[VMA Total do Lote],MATCH(Tabela1[[#This Row],[Lote]],ResumoLotesSUPERBID[LOTES],0))</f>
        <v>79580.212118399984</v>
      </c>
      <c r="W72" s="57">
        <f>Tabela1[[#This Row],[VMA - Total]]/Tabela1[[#This Row],[VMA total do Lote]]</f>
        <v>0.4498797900504995</v>
      </c>
      <c r="X72" t="s">
        <v>392</v>
      </c>
      <c r="Y72" t="s">
        <v>393</v>
      </c>
      <c r="Z72" s="55" t="str">
        <f>Tabela1[[#This Row],[Material]]&amp;"-"&amp;Tabela1[[#This Row],[Centro
Origem]]&amp;"-"&amp;Tabela1[[#This Row],[Depósito]]&amp;"-"&amp;Tabela1[[#This Row],[Tipo de Avaliação]]&amp;"-"&amp;Tabela1[[#This Row],[Elemento PEP]]</f>
        <v>11111141-4419-JI01-USADO-</v>
      </c>
      <c r="AA72" s="58" t="str">
        <f>INDEX(ResumoLotesSUPERBID[Sugestão],MATCH(Tabela1[[#This Row],[Lote]],ResumoLotesSUPERBID[LOTES],0))</f>
        <v>Para Leilão</v>
      </c>
      <c r="AB72" s="56">
        <f>INDEX(ResumoLotesSUPERBID[VMA / Comparação],MATCH(Tabela1[[#This Row],[Lote]],ResumoLotesSUPERBID[LOTES],0))</f>
        <v>0.16054347522677048</v>
      </c>
      <c r="AC72" s="59" t="str">
        <f>INDEX(ResumoLotesSUPERBID[Descrição],MATCH(Tabela1[[#This Row],[Lote]],ResumoLotesSUPERBID[LOTES],0))</f>
        <v>1% do Valor de Comparação do VMA</v>
      </c>
    </row>
    <row r="73" spans="1:29" x14ac:dyDescent="0.25">
      <c r="A73" s="20" t="s">
        <v>187</v>
      </c>
      <c r="B73" t="s">
        <v>47</v>
      </c>
      <c r="D73" s="16" t="s">
        <v>175</v>
      </c>
      <c r="E73" t="s">
        <v>61</v>
      </c>
      <c r="F73" s="22">
        <v>11393843</v>
      </c>
      <c r="G73" t="s">
        <v>188</v>
      </c>
      <c r="H73" s="6">
        <v>4419</v>
      </c>
      <c r="J73" s="6" t="s">
        <v>386</v>
      </c>
      <c r="K73" t="s">
        <v>387</v>
      </c>
      <c r="M73">
        <v>1</v>
      </c>
      <c r="N73" t="s">
        <v>391</v>
      </c>
      <c r="O73" s="7">
        <v>1</v>
      </c>
      <c r="P73" s="7">
        <f>Tabela1[[#This Row],[Valor Contábil Unitário]]*Tabela1[[#This Row],[Quantidade]]</f>
        <v>1</v>
      </c>
      <c r="Q73" s="7">
        <v>58164.41</v>
      </c>
      <c r="R73" s="7">
        <f>Tabela1[[#This Row],[Valor de Reposição Unitário]]*Tabela1[[#This Row],[Quantidade]]</f>
        <v>58164.41</v>
      </c>
      <c r="S73" s="48">
        <f>IF(Tabela1[[#This Row],[Valor Contábil Total]]&gt;Tabela1[[#This Row],[Valor total de Reposição]],Tabela1[[#This Row],[Valor Contábil Total]],Tabela1[[#This Row],[Valor total de Reposição]])</f>
        <v>58164.41</v>
      </c>
      <c r="T73" s="7">
        <v>6107.2630500000005</v>
      </c>
      <c r="U73" s="7">
        <f>Tabela1[[#This Row],[VMA - Unitário]]*Tabela1[[#This Row],[Quantidade]]</f>
        <v>6107.2630500000005</v>
      </c>
      <c r="V73" s="48">
        <f>INDEX(ResumoLotesSUPERBID[VMA Total do Lote],MATCH(Tabela1[[#This Row],[Lote]],ResumoLotesSUPERBID[LOTES],0))</f>
        <v>79580.212118399984</v>
      </c>
      <c r="W73" s="57">
        <f>Tabela1[[#This Row],[VMA - Total]]/Tabela1[[#This Row],[VMA total do Lote]]</f>
        <v>7.6743487952929457E-2</v>
      </c>
      <c r="X73" t="s">
        <v>392</v>
      </c>
      <c r="Y73" t="s">
        <v>393</v>
      </c>
      <c r="Z73" s="55" t="str">
        <f>Tabela1[[#This Row],[Material]]&amp;"-"&amp;Tabela1[[#This Row],[Centro
Origem]]&amp;"-"&amp;Tabela1[[#This Row],[Depósito]]&amp;"-"&amp;Tabela1[[#This Row],[Tipo de Avaliação]]&amp;"-"&amp;Tabela1[[#This Row],[Elemento PEP]]</f>
        <v>11393843-4419-JI01-USADO-</v>
      </c>
      <c r="AA73" s="58" t="str">
        <f>INDEX(ResumoLotesSUPERBID[Sugestão],MATCH(Tabela1[[#This Row],[Lote]],ResumoLotesSUPERBID[LOTES],0))</f>
        <v>Para Leilão</v>
      </c>
      <c r="AB73" s="56">
        <f>INDEX(ResumoLotesSUPERBID[VMA / Comparação],MATCH(Tabela1[[#This Row],[Lote]],ResumoLotesSUPERBID[LOTES],0))</f>
        <v>0.16054347522677048</v>
      </c>
      <c r="AC73" s="59" t="str">
        <f>INDEX(ResumoLotesSUPERBID[Descrição],MATCH(Tabela1[[#This Row],[Lote]],ResumoLotesSUPERBID[LOTES],0))</f>
        <v>1% do Valor de Comparação do VMA</v>
      </c>
    </row>
    <row r="74" spans="1:29" x14ac:dyDescent="0.25">
      <c r="A74" s="20" t="s">
        <v>189</v>
      </c>
      <c r="B74" t="s">
        <v>47</v>
      </c>
      <c r="D74" s="16" t="s">
        <v>190</v>
      </c>
      <c r="E74" t="s">
        <v>61</v>
      </c>
      <c r="F74" s="22">
        <v>11085888</v>
      </c>
      <c r="G74" t="s">
        <v>191</v>
      </c>
      <c r="H74" s="6">
        <v>4419</v>
      </c>
      <c r="J74" s="6" t="s">
        <v>386</v>
      </c>
      <c r="K74" t="s">
        <v>384</v>
      </c>
      <c r="M74">
        <v>1</v>
      </c>
      <c r="N74" t="s">
        <v>391</v>
      </c>
      <c r="O74" s="7">
        <v>39588.31</v>
      </c>
      <c r="P74" s="7">
        <f>Tabela1[[#This Row],[Valor Contábil Unitário]]*Tabela1[[#This Row],[Quantidade]]</f>
        <v>39588.31</v>
      </c>
      <c r="Q74" s="7">
        <v>39588.31</v>
      </c>
      <c r="R74" s="7">
        <f>Tabela1[[#This Row],[Valor de Reposição Unitário]]*Tabela1[[#This Row],[Quantidade]]</f>
        <v>39588.31</v>
      </c>
      <c r="S74" s="48">
        <f>IF(Tabela1[[#This Row],[Valor Contábil Total]]&gt;Tabela1[[#This Row],[Valor total de Reposição]],Tabela1[[#This Row],[Valor Contábil Total]],Tabela1[[#This Row],[Valor total de Reposição]])</f>
        <v>39588.31</v>
      </c>
      <c r="T74" s="7">
        <v>14964.381179999998</v>
      </c>
      <c r="U74" s="7">
        <f>Tabela1[[#This Row],[VMA - Unitário]]*Tabela1[[#This Row],[Quantidade]]</f>
        <v>14964.381179999998</v>
      </c>
      <c r="V74" s="48">
        <f>INDEX(ResumoLotesSUPERBID[VMA Total do Lote],MATCH(Tabela1[[#This Row],[Lote]],ResumoLotesSUPERBID[LOTES],0))</f>
        <v>252430.51165920001</v>
      </c>
      <c r="W74" s="57">
        <f>Tabela1[[#This Row],[VMA - Total]]/Tabela1[[#This Row],[VMA total do Lote]]</f>
        <v>5.9281190223957662E-2</v>
      </c>
      <c r="X74" t="s">
        <v>392</v>
      </c>
      <c r="Y74" t="s">
        <v>393</v>
      </c>
      <c r="Z74" s="55" t="str">
        <f>Tabela1[[#This Row],[Material]]&amp;"-"&amp;Tabela1[[#This Row],[Centro
Origem]]&amp;"-"&amp;Tabela1[[#This Row],[Depósito]]&amp;"-"&amp;Tabela1[[#This Row],[Tipo de Avaliação]]&amp;"-"&amp;Tabela1[[#This Row],[Elemento PEP]]</f>
        <v>11085888-4419-JI01-IMOB/IAMN-</v>
      </c>
      <c r="AA74" s="58" t="str">
        <f>INDEX(ResumoLotesSUPERBID[Sugestão],MATCH(Tabela1[[#This Row],[Lote]],ResumoLotesSUPERBID[LOTES],0))</f>
        <v>Para Leilão</v>
      </c>
      <c r="AB74" s="56">
        <f>INDEX(ResumoLotesSUPERBID[VMA / Comparação],MATCH(Tabela1[[#This Row],[Lote]],ResumoLotesSUPERBID[LOTES],0))</f>
        <v>0.25708000285058707</v>
      </c>
      <c r="AC74" s="59" t="str">
        <f>INDEX(ResumoLotesSUPERBID[Descrição],MATCH(Tabela1[[#This Row],[Lote]],ResumoLotesSUPERBID[LOTES],0))</f>
        <v>1% do Valor de Comparação do VMA</v>
      </c>
    </row>
    <row r="75" spans="1:29" x14ac:dyDescent="0.25">
      <c r="A75" s="20" t="s">
        <v>192</v>
      </c>
      <c r="B75" t="s">
        <v>47</v>
      </c>
      <c r="D75" s="16" t="s">
        <v>190</v>
      </c>
      <c r="E75" t="s">
        <v>61</v>
      </c>
      <c r="F75" s="22">
        <v>10135421</v>
      </c>
      <c r="G75" t="s">
        <v>193</v>
      </c>
      <c r="H75" s="6">
        <v>4419</v>
      </c>
      <c r="J75" s="6" t="s">
        <v>386</v>
      </c>
      <c r="K75" t="s">
        <v>387</v>
      </c>
      <c r="M75">
        <v>1</v>
      </c>
      <c r="N75" t="s">
        <v>391</v>
      </c>
      <c r="O75" s="7">
        <v>1</v>
      </c>
      <c r="P75" s="7">
        <f>Tabela1[[#This Row],[Valor Contábil Unitário]]*Tabela1[[#This Row],[Quantidade]]</f>
        <v>1</v>
      </c>
      <c r="Q75" s="7">
        <v>85922.74</v>
      </c>
      <c r="R75" s="7">
        <f>Tabela1[[#This Row],[Valor de Reposição Unitário]]*Tabela1[[#This Row],[Quantidade]]</f>
        <v>85922.74</v>
      </c>
      <c r="S75" s="48">
        <f>IF(Tabela1[[#This Row],[Valor Contábil Total]]&gt;Tabela1[[#This Row],[Valor total de Reposição]],Tabela1[[#This Row],[Valor Contábil Total]],Tabela1[[#This Row],[Valor total de Reposição]])</f>
        <v>85922.74</v>
      </c>
      <c r="T75" s="7">
        <v>21652.530480000001</v>
      </c>
      <c r="U75" s="7">
        <f>Tabela1[[#This Row],[VMA - Unitário]]*Tabela1[[#This Row],[Quantidade]]</f>
        <v>21652.530480000001</v>
      </c>
      <c r="V75" s="48">
        <f>INDEX(ResumoLotesSUPERBID[VMA Total do Lote],MATCH(Tabela1[[#This Row],[Lote]],ResumoLotesSUPERBID[LOTES],0))</f>
        <v>252430.51165920001</v>
      </c>
      <c r="W75" s="57">
        <f>Tabela1[[#This Row],[VMA - Total]]/Tabela1[[#This Row],[VMA total do Lote]]</f>
        <v>8.5776201686872666E-2</v>
      </c>
      <c r="X75" t="s">
        <v>392</v>
      </c>
      <c r="Y75" t="s">
        <v>393</v>
      </c>
      <c r="Z75" s="55" t="str">
        <f>Tabela1[[#This Row],[Material]]&amp;"-"&amp;Tabela1[[#This Row],[Centro
Origem]]&amp;"-"&amp;Tabela1[[#This Row],[Depósito]]&amp;"-"&amp;Tabela1[[#This Row],[Tipo de Avaliação]]&amp;"-"&amp;Tabela1[[#This Row],[Elemento PEP]]</f>
        <v>10135421-4419-JI01-USADO-</v>
      </c>
      <c r="AA75" s="58" t="str">
        <f>INDEX(ResumoLotesSUPERBID[Sugestão],MATCH(Tabela1[[#This Row],[Lote]],ResumoLotesSUPERBID[LOTES],0))</f>
        <v>Para Leilão</v>
      </c>
      <c r="AB75" s="56">
        <f>INDEX(ResumoLotesSUPERBID[VMA / Comparação],MATCH(Tabela1[[#This Row],[Lote]],ResumoLotesSUPERBID[LOTES],0))</f>
        <v>0.25708000285058707</v>
      </c>
      <c r="AC75" s="59" t="str">
        <f>INDEX(ResumoLotesSUPERBID[Descrição],MATCH(Tabela1[[#This Row],[Lote]],ResumoLotesSUPERBID[LOTES],0))</f>
        <v>1% do Valor de Comparação do VMA</v>
      </c>
    </row>
    <row r="76" spans="1:29" x14ac:dyDescent="0.25">
      <c r="A76" s="20" t="s">
        <v>194</v>
      </c>
      <c r="B76" t="s">
        <v>47</v>
      </c>
      <c r="D76" s="16" t="s">
        <v>190</v>
      </c>
      <c r="E76" t="s">
        <v>61</v>
      </c>
      <c r="F76" s="22">
        <v>11034479</v>
      </c>
      <c r="G76" t="s">
        <v>195</v>
      </c>
      <c r="H76" s="6">
        <v>4419</v>
      </c>
      <c r="J76" s="6" t="s">
        <v>386</v>
      </c>
      <c r="K76" t="s">
        <v>387</v>
      </c>
      <c r="M76">
        <v>2</v>
      </c>
      <c r="N76" t="s">
        <v>391</v>
      </c>
      <c r="O76" s="7">
        <v>1</v>
      </c>
      <c r="P76" s="7">
        <f>Tabela1[[#This Row],[Valor Contábil Unitário]]*Tabela1[[#This Row],[Quantidade]]</f>
        <v>2</v>
      </c>
      <c r="Q76" s="7">
        <v>22898.5753</v>
      </c>
      <c r="R76" s="7">
        <f>Tabela1[[#This Row],[Valor de Reposição Unitário]]*Tabela1[[#This Row],[Quantidade]]</f>
        <v>45797.150600000001</v>
      </c>
      <c r="S76" s="48">
        <f>IF(Tabela1[[#This Row],[Valor Contábil Total]]&gt;Tabela1[[#This Row],[Valor total de Reposição]],Tabela1[[#This Row],[Valor Contábil Total]],Tabela1[[#This Row],[Valor total de Reposição]])</f>
        <v>45797.150600000001</v>
      </c>
      <c r="T76" s="7">
        <v>5770.4409756000005</v>
      </c>
      <c r="U76" s="7">
        <f>Tabela1[[#This Row],[VMA - Unitário]]*Tabela1[[#This Row],[Quantidade]]</f>
        <v>11540.881951200001</v>
      </c>
      <c r="V76" s="48">
        <f>INDEX(ResumoLotesSUPERBID[VMA Total do Lote],MATCH(Tabela1[[#This Row],[Lote]],ResumoLotesSUPERBID[LOTES],0))</f>
        <v>252430.51165920001</v>
      </c>
      <c r="W76" s="57">
        <f>Tabela1[[#This Row],[VMA - Total]]/Tabela1[[#This Row],[VMA total do Lote]]</f>
        <v>4.5719045115992361E-2</v>
      </c>
      <c r="X76" t="s">
        <v>392</v>
      </c>
      <c r="Y76" t="s">
        <v>393</v>
      </c>
      <c r="Z76" s="55" t="str">
        <f>Tabela1[[#This Row],[Material]]&amp;"-"&amp;Tabela1[[#This Row],[Centro
Origem]]&amp;"-"&amp;Tabela1[[#This Row],[Depósito]]&amp;"-"&amp;Tabela1[[#This Row],[Tipo de Avaliação]]&amp;"-"&amp;Tabela1[[#This Row],[Elemento PEP]]</f>
        <v>11034479-4419-JI01-USADO-</v>
      </c>
      <c r="AA76" s="58" t="str">
        <f>INDEX(ResumoLotesSUPERBID[Sugestão],MATCH(Tabela1[[#This Row],[Lote]],ResumoLotesSUPERBID[LOTES],0))</f>
        <v>Para Leilão</v>
      </c>
      <c r="AB76" s="56">
        <f>INDEX(ResumoLotesSUPERBID[VMA / Comparação],MATCH(Tabela1[[#This Row],[Lote]],ResumoLotesSUPERBID[LOTES],0))</f>
        <v>0.25708000285058707</v>
      </c>
      <c r="AC76" s="59" t="str">
        <f>INDEX(ResumoLotesSUPERBID[Descrição],MATCH(Tabela1[[#This Row],[Lote]],ResumoLotesSUPERBID[LOTES],0))</f>
        <v>1% do Valor de Comparação do VMA</v>
      </c>
    </row>
    <row r="77" spans="1:29" x14ac:dyDescent="0.25">
      <c r="A77" s="20" t="s">
        <v>196</v>
      </c>
      <c r="B77" t="s">
        <v>47</v>
      </c>
      <c r="D77" s="16" t="s">
        <v>190</v>
      </c>
      <c r="E77" t="s">
        <v>61</v>
      </c>
      <c r="F77" s="22">
        <v>11065493</v>
      </c>
      <c r="G77" t="s">
        <v>197</v>
      </c>
      <c r="H77" s="6">
        <v>4419</v>
      </c>
      <c r="J77" s="6" t="s">
        <v>386</v>
      </c>
      <c r="K77" t="s">
        <v>387</v>
      </c>
      <c r="M77">
        <v>1</v>
      </c>
      <c r="N77" t="s">
        <v>391</v>
      </c>
      <c r="O77" s="7">
        <v>1</v>
      </c>
      <c r="P77" s="7">
        <f>Tabela1[[#This Row],[Valor Contábil Unitário]]*Tabela1[[#This Row],[Quantidade]]</f>
        <v>1</v>
      </c>
      <c r="Q77" s="7">
        <v>62970.22</v>
      </c>
      <c r="R77" s="7">
        <f>Tabela1[[#This Row],[Valor de Reposição Unitário]]*Tabela1[[#This Row],[Quantidade]]</f>
        <v>62970.22</v>
      </c>
      <c r="S77" s="48">
        <f>IF(Tabela1[[#This Row],[Valor Contábil Total]]&gt;Tabela1[[#This Row],[Valor total de Reposição]],Tabela1[[#This Row],[Valor Contábil Total]],Tabela1[[#This Row],[Valor total de Reposição]])</f>
        <v>62970.22</v>
      </c>
      <c r="T77" s="7">
        <v>15868.495440000001</v>
      </c>
      <c r="U77" s="7">
        <f>Tabela1[[#This Row],[VMA - Unitário]]*Tabela1[[#This Row],[Quantidade]]</f>
        <v>15868.495440000001</v>
      </c>
      <c r="V77" s="48">
        <f>INDEX(ResumoLotesSUPERBID[VMA Total do Lote],MATCH(Tabela1[[#This Row],[Lote]],ResumoLotesSUPERBID[LOTES],0))</f>
        <v>252430.51165920001</v>
      </c>
      <c r="W77" s="57">
        <f>Tabela1[[#This Row],[VMA - Total]]/Tabela1[[#This Row],[VMA total do Lote]]</f>
        <v>6.286282642972911E-2</v>
      </c>
      <c r="X77" t="s">
        <v>392</v>
      </c>
      <c r="Y77" t="s">
        <v>393</v>
      </c>
      <c r="Z77" s="55" t="str">
        <f>Tabela1[[#This Row],[Material]]&amp;"-"&amp;Tabela1[[#This Row],[Centro
Origem]]&amp;"-"&amp;Tabela1[[#This Row],[Depósito]]&amp;"-"&amp;Tabela1[[#This Row],[Tipo de Avaliação]]&amp;"-"&amp;Tabela1[[#This Row],[Elemento PEP]]</f>
        <v>11065493-4419-JI01-USADO-</v>
      </c>
      <c r="AA77" s="58" t="str">
        <f>INDEX(ResumoLotesSUPERBID[Sugestão],MATCH(Tabela1[[#This Row],[Lote]],ResumoLotesSUPERBID[LOTES],0))</f>
        <v>Para Leilão</v>
      </c>
      <c r="AB77" s="56">
        <f>INDEX(ResumoLotesSUPERBID[VMA / Comparação],MATCH(Tabela1[[#This Row],[Lote]],ResumoLotesSUPERBID[LOTES],0))</f>
        <v>0.25708000285058707</v>
      </c>
      <c r="AC77" s="59" t="str">
        <f>INDEX(ResumoLotesSUPERBID[Descrição],MATCH(Tabela1[[#This Row],[Lote]],ResumoLotesSUPERBID[LOTES],0))</f>
        <v>1% do Valor de Comparação do VMA</v>
      </c>
    </row>
    <row r="78" spans="1:29" x14ac:dyDescent="0.25">
      <c r="A78" s="20" t="s">
        <v>198</v>
      </c>
      <c r="B78" t="s">
        <v>47</v>
      </c>
      <c r="D78" s="16" t="s">
        <v>190</v>
      </c>
      <c r="E78" t="s">
        <v>61</v>
      </c>
      <c r="F78" s="22">
        <v>11100345</v>
      </c>
      <c r="G78" t="s">
        <v>199</v>
      </c>
      <c r="H78" s="6">
        <v>4419</v>
      </c>
      <c r="J78" s="6" t="s">
        <v>386</v>
      </c>
      <c r="K78" t="s">
        <v>387</v>
      </c>
      <c r="M78">
        <v>1</v>
      </c>
      <c r="N78" t="s">
        <v>391</v>
      </c>
      <c r="O78" s="7">
        <v>1</v>
      </c>
      <c r="P78" s="7">
        <f>Tabela1[[#This Row],[Valor Contábil Unitário]]*Tabela1[[#This Row],[Quantidade]]</f>
        <v>1</v>
      </c>
      <c r="Q78" s="7">
        <v>33569.383999999998</v>
      </c>
      <c r="R78" s="7">
        <f>Tabela1[[#This Row],[Valor de Reposição Unitário]]*Tabela1[[#This Row],[Quantidade]]</f>
        <v>33569.383999999998</v>
      </c>
      <c r="S78" s="48">
        <f>IF(Tabela1[[#This Row],[Valor Contábil Total]]&gt;Tabela1[[#This Row],[Valor total de Reposição]],Tabela1[[#This Row],[Valor Contábil Total]],Tabela1[[#This Row],[Valor total de Reposição]])</f>
        <v>33569.383999999998</v>
      </c>
      <c r="T78" s="7">
        <v>8459.4847680000003</v>
      </c>
      <c r="U78" s="7">
        <f>Tabela1[[#This Row],[VMA - Unitário]]*Tabela1[[#This Row],[Quantidade]]</f>
        <v>8459.4847680000003</v>
      </c>
      <c r="V78" s="48">
        <f>INDEX(ResumoLotesSUPERBID[VMA Total do Lote],MATCH(Tabela1[[#This Row],[Lote]],ResumoLotesSUPERBID[LOTES],0))</f>
        <v>252430.51165920001</v>
      </c>
      <c r="W78" s="57">
        <f>Tabela1[[#This Row],[VMA - Total]]/Tabela1[[#This Row],[VMA total do Lote]]</f>
        <v>3.3512132556388172E-2</v>
      </c>
      <c r="X78" t="s">
        <v>392</v>
      </c>
      <c r="Y78" t="s">
        <v>393</v>
      </c>
      <c r="Z78" s="55" t="str">
        <f>Tabela1[[#This Row],[Material]]&amp;"-"&amp;Tabela1[[#This Row],[Centro
Origem]]&amp;"-"&amp;Tabela1[[#This Row],[Depósito]]&amp;"-"&amp;Tabela1[[#This Row],[Tipo de Avaliação]]&amp;"-"&amp;Tabela1[[#This Row],[Elemento PEP]]</f>
        <v>11100345-4419-JI01-USADO-</v>
      </c>
      <c r="AA78" s="58" t="str">
        <f>INDEX(ResumoLotesSUPERBID[Sugestão],MATCH(Tabela1[[#This Row],[Lote]],ResumoLotesSUPERBID[LOTES],0))</f>
        <v>Para Leilão</v>
      </c>
      <c r="AB78" s="56">
        <f>INDEX(ResumoLotesSUPERBID[VMA / Comparação],MATCH(Tabela1[[#This Row],[Lote]],ResumoLotesSUPERBID[LOTES],0))</f>
        <v>0.25708000285058707</v>
      </c>
      <c r="AC78" s="59" t="str">
        <f>INDEX(ResumoLotesSUPERBID[Descrição],MATCH(Tabela1[[#This Row],[Lote]],ResumoLotesSUPERBID[LOTES],0))</f>
        <v>1% do Valor de Comparação do VMA</v>
      </c>
    </row>
    <row r="79" spans="1:29" x14ac:dyDescent="0.25">
      <c r="A79" s="20" t="s">
        <v>200</v>
      </c>
      <c r="B79" t="s">
        <v>47</v>
      </c>
      <c r="D79" s="16" t="s">
        <v>190</v>
      </c>
      <c r="E79" t="s">
        <v>61</v>
      </c>
      <c r="F79" s="22">
        <v>11100389</v>
      </c>
      <c r="G79" t="s">
        <v>201</v>
      </c>
      <c r="H79" s="6">
        <v>4419</v>
      </c>
      <c r="J79" s="6" t="s">
        <v>386</v>
      </c>
      <c r="K79" t="s">
        <v>387</v>
      </c>
      <c r="M79">
        <v>1</v>
      </c>
      <c r="N79" t="s">
        <v>391</v>
      </c>
      <c r="O79" s="7">
        <v>1</v>
      </c>
      <c r="P79" s="7">
        <f>Tabela1[[#This Row],[Valor Contábil Unitário]]*Tabela1[[#This Row],[Quantidade]]</f>
        <v>1</v>
      </c>
      <c r="Q79" s="7">
        <v>32461.1</v>
      </c>
      <c r="R79" s="7">
        <f>Tabela1[[#This Row],[Valor de Reposição Unitário]]*Tabela1[[#This Row],[Quantidade]]</f>
        <v>32461.1</v>
      </c>
      <c r="S79" s="48">
        <f>IF(Tabela1[[#This Row],[Valor Contábil Total]]&gt;Tabela1[[#This Row],[Valor total de Reposição]],Tabela1[[#This Row],[Valor Contábil Total]],Tabela1[[#This Row],[Valor total de Reposição]])</f>
        <v>32461.1</v>
      </c>
      <c r="T79" s="7">
        <v>8180.1971999999996</v>
      </c>
      <c r="U79" s="7">
        <f>Tabela1[[#This Row],[VMA - Unitário]]*Tabela1[[#This Row],[Quantidade]]</f>
        <v>8180.1971999999996</v>
      </c>
      <c r="V79" s="48">
        <f>INDEX(ResumoLotesSUPERBID[VMA Total do Lote],MATCH(Tabela1[[#This Row],[Lote]],ResumoLotesSUPERBID[LOTES],0))</f>
        <v>252430.51165920001</v>
      </c>
      <c r="W79" s="57">
        <f>Tabela1[[#This Row],[VMA - Total]]/Tabela1[[#This Row],[VMA total do Lote]]</f>
        <v>3.2405738697086961E-2</v>
      </c>
      <c r="X79" t="s">
        <v>392</v>
      </c>
      <c r="Y79" t="s">
        <v>393</v>
      </c>
      <c r="Z79" s="55" t="str">
        <f>Tabela1[[#This Row],[Material]]&amp;"-"&amp;Tabela1[[#This Row],[Centro
Origem]]&amp;"-"&amp;Tabela1[[#This Row],[Depósito]]&amp;"-"&amp;Tabela1[[#This Row],[Tipo de Avaliação]]&amp;"-"&amp;Tabela1[[#This Row],[Elemento PEP]]</f>
        <v>11100389-4419-JI01-USADO-</v>
      </c>
      <c r="AA79" s="58" t="str">
        <f>INDEX(ResumoLotesSUPERBID[Sugestão],MATCH(Tabela1[[#This Row],[Lote]],ResumoLotesSUPERBID[LOTES],0))</f>
        <v>Para Leilão</v>
      </c>
      <c r="AB79" s="56">
        <f>INDEX(ResumoLotesSUPERBID[VMA / Comparação],MATCH(Tabela1[[#This Row],[Lote]],ResumoLotesSUPERBID[LOTES],0))</f>
        <v>0.25708000285058707</v>
      </c>
      <c r="AC79" s="59" t="str">
        <f>INDEX(ResumoLotesSUPERBID[Descrição],MATCH(Tabela1[[#This Row],[Lote]],ResumoLotesSUPERBID[LOTES],0))</f>
        <v>1% do Valor de Comparação do VMA</v>
      </c>
    </row>
    <row r="80" spans="1:29" x14ac:dyDescent="0.25">
      <c r="A80" s="20" t="s">
        <v>202</v>
      </c>
      <c r="B80" t="s">
        <v>47</v>
      </c>
      <c r="D80" s="16" t="s">
        <v>190</v>
      </c>
      <c r="E80" t="s">
        <v>61</v>
      </c>
      <c r="F80" s="22">
        <v>11122492</v>
      </c>
      <c r="G80" t="s">
        <v>203</v>
      </c>
      <c r="H80" s="6">
        <v>4419</v>
      </c>
      <c r="J80" s="6" t="s">
        <v>386</v>
      </c>
      <c r="K80" t="s">
        <v>387</v>
      </c>
      <c r="M80">
        <v>3</v>
      </c>
      <c r="N80" t="s">
        <v>391</v>
      </c>
      <c r="O80" s="7">
        <v>1</v>
      </c>
      <c r="P80" s="7">
        <f>Tabela1[[#This Row],[Valor Contábil Unitário]]*Tabela1[[#This Row],[Quantidade]]</f>
        <v>3</v>
      </c>
      <c r="Q80" s="7">
        <v>178349.26</v>
      </c>
      <c r="R80" s="7">
        <f>Tabela1[[#This Row],[Valor de Reposição Unitário]]*Tabela1[[#This Row],[Quantidade]]</f>
        <v>535047.78</v>
      </c>
      <c r="S80" s="48">
        <f>IF(Tabela1[[#This Row],[Valor Contábil Total]]&gt;Tabela1[[#This Row],[Valor total de Reposição]],Tabela1[[#This Row],[Valor Contábil Total]],Tabela1[[#This Row],[Valor total de Reposição]])</f>
        <v>535047.78</v>
      </c>
      <c r="T80" s="7">
        <v>44944.01352</v>
      </c>
      <c r="U80" s="7">
        <f>Tabela1[[#This Row],[VMA - Unitário]]*Tabela1[[#This Row],[Quantidade]]</f>
        <v>134832.04055999999</v>
      </c>
      <c r="V80" s="48">
        <f>INDEX(ResumoLotesSUPERBID[VMA Total do Lote],MATCH(Tabela1[[#This Row],[Lote]],ResumoLotesSUPERBID[LOTES],0))</f>
        <v>252430.51165920001</v>
      </c>
      <c r="W80" s="57">
        <f>Tabela1[[#This Row],[VMA - Total]]/Tabela1[[#This Row],[VMA total do Lote]]</f>
        <v>0.53413527419392659</v>
      </c>
      <c r="X80" t="s">
        <v>392</v>
      </c>
      <c r="Y80" t="s">
        <v>393</v>
      </c>
      <c r="Z80" s="55" t="str">
        <f>Tabela1[[#This Row],[Material]]&amp;"-"&amp;Tabela1[[#This Row],[Centro
Origem]]&amp;"-"&amp;Tabela1[[#This Row],[Depósito]]&amp;"-"&amp;Tabela1[[#This Row],[Tipo de Avaliação]]&amp;"-"&amp;Tabela1[[#This Row],[Elemento PEP]]</f>
        <v>11122492-4419-JI01-USADO-</v>
      </c>
      <c r="AA80" s="58" t="str">
        <f>INDEX(ResumoLotesSUPERBID[Sugestão],MATCH(Tabela1[[#This Row],[Lote]],ResumoLotesSUPERBID[LOTES],0))</f>
        <v>Para Leilão</v>
      </c>
      <c r="AB80" s="56">
        <f>INDEX(ResumoLotesSUPERBID[VMA / Comparação],MATCH(Tabela1[[#This Row],[Lote]],ResumoLotesSUPERBID[LOTES],0))</f>
        <v>0.25708000285058707</v>
      </c>
      <c r="AC80" s="59" t="str">
        <f>INDEX(ResumoLotesSUPERBID[Descrição],MATCH(Tabela1[[#This Row],[Lote]],ResumoLotesSUPERBID[LOTES],0))</f>
        <v>1% do Valor de Comparação do VMA</v>
      </c>
    </row>
    <row r="81" spans="1:29" x14ac:dyDescent="0.25">
      <c r="A81" s="20" t="s">
        <v>204</v>
      </c>
      <c r="B81" t="s">
        <v>47</v>
      </c>
      <c r="D81" s="16" t="s">
        <v>190</v>
      </c>
      <c r="E81" t="s">
        <v>61</v>
      </c>
      <c r="F81" s="22">
        <v>11292458</v>
      </c>
      <c r="G81" t="s">
        <v>205</v>
      </c>
      <c r="H81" s="6">
        <v>4419</v>
      </c>
      <c r="J81" s="6" t="s">
        <v>386</v>
      </c>
      <c r="K81" t="s">
        <v>387</v>
      </c>
      <c r="M81">
        <v>1</v>
      </c>
      <c r="N81" t="s">
        <v>391</v>
      </c>
      <c r="O81" s="7">
        <v>1</v>
      </c>
      <c r="P81" s="7">
        <f>Tabela1[[#This Row],[Valor Contábil Unitário]]*Tabela1[[#This Row],[Quantidade]]</f>
        <v>1</v>
      </c>
      <c r="Q81" s="7">
        <v>20891.849999999999</v>
      </c>
      <c r="R81" s="7">
        <f>Tabela1[[#This Row],[Valor de Reposição Unitário]]*Tabela1[[#This Row],[Quantidade]]</f>
        <v>20891.849999999999</v>
      </c>
      <c r="S81" s="48">
        <f>IF(Tabela1[[#This Row],[Valor Contábil Total]]&gt;Tabela1[[#This Row],[Valor total de Reposição]],Tabela1[[#This Row],[Valor Contábil Total]],Tabela1[[#This Row],[Valor total de Reposição]])</f>
        <v>20891.849999999999</v>
      </c>
      <c r="T81" s="7">
        <v>5264.7461999999996</v>
      </c>
      <c r="U81" s="7">
        <f>Tabela1[[#This Row],[VMA - Unitário]]*Tabela1[[#This Row],[Quantidade]]</f>
        <v>5264.7461999999996</v>
      </c>
      <c r="V81" s="48">
        <f>INDEX(ResumoLotesSUPERBID[VMA Total do Lote],MATCH(Tabela1[[#This Row],[Lote]],ResumoLotesSUPERBID[LOTES],0))</f>
        <v>252430.51165920001</v>
      </c>
      <c r="W81" s="57">
        <f>Tabela1[[#This Row],[VMA - Total]]/Tabela1[[#This Row],[VMA total do Lote]]</f>
        <v>2.0856219659800074E-2</v>
      </c>
      <c r="X81" t="s">
        <v>392</v>
      </c>
      <c r="Y81" t="s">
        <v>393</v>
      </c>
      <c r="Z81" s="55" t="str">
        <f>Tabela1[[#This Row],[Material]]&amp;"-"&amp;Tabela1[[#This Row],[Centro
Origem]]&amp;"-"&amp;Tabela1[[#This Row],[Depósito]]&amp;"-"&amp;Tabela1[[#This Row],[Tipo de Avaliação]]&amp;"-"&amp;Tabela1[[#This Row],[Elemento PEP]]</f>
        <v>11292458-4419-JI01-USADO-</v>
      </c>
      <c r="AA81" s="58" t="str">
        <f>INDEX(ResumoLotesSUPERBID[Sugestão],MATCH(Tabela1[[#This Row],[Lote]],ResumoLotesSUPERBID[LOTES],0))</f>
        <v>Para Leilão</v>
      </c>
      <c r="AB81" s="56">
        <f>INDEX(ResumoLotesSUPERBID[VMA / Comparação],MATCH(Tabela1[[#This Row],[Lote]],ResumoLotesSUPERBID[LOTES],0))</f>
        <v>0.25708000285058707</v>
      </c>
      <c r="AC81" s="59" t="str">
        <f>INDEX(ResumoLotesSUPERBID[Descrição],MATCH(Tabela1[[#This Row],[Lote]],ResumoLotesSUPERBID[LOTES],0))</f>
        <v>1% do Valor de Comparação do VMA</v>
      </c>
    </row>
    <row r="82" spans="1:29" x14ac:dyDescent="0.25">
      <c r="A82" s="20" t="s">
        <v>206</v>
      </c>
      <c r="B82" t="s">
        <v>47</v>
      </c>
      <c r="D82" s="16" t="s">
        <v>190</v>
      </c>
      <c r="E82" t="s">
        <v>61</v>
      </c>
      <c r="F82" s="22">
        <v>11292926</v>
      </c>
      <c r="G82" t="s">
        <v>207</v>
      </c>
      <c r="H82" s="6">
        <v>4419</v>
      </c>
      <c r="J82" s="6" t="s">
        <v>386</v>
      </c>
      <c r="K82" t="s">
        <v>387</v>
      </c>
      <c r="M82">
        <v>1</v>
      </c>
      <c r="N82" t="s">
        <v>391</v>
      </c>
      <c r="O82" s="7">
        <v>1</v>
      </c>
      <c r="P82" s="7">
        <f>Tabela1[[#This Row],[Valor Contábil Unitário]]*Tabela1[[#This Row],[Quantidade]]</f>
        <v>1</v>
      </c>
      <c r="Q82" s="7">
        <v>17586.330000000002</v>
      </c>
      <c r="R82" s="7">
        <f>Tabela1[[#This Row],[Valor de Reposição Unitário]]*Tabela1[[#This Row],[Quantidade]]</f>
        <v>17586.330000000002</v>
      </c>
      <c r="S82" s="48">
        <f>IF(Tabela1[[#This Row],[Valor Contábil Total]]&gt;Tabela1[[#This Row],[Valor total de Reposição]],Tabela1[[#This Row],[Valor Contábil Total]],Tabela1[[#This Row],[Valor total de Reposição]])</f>
        <v>17586.330000000002</v>
      </c>
      <c r="T82" s="7">
        <v>4431.7551600000006</v>
      </c>
      <c r="U82" s="7">
        <f>Tabela1[[#This Row],[VMA - Unitário]]*Tabela1[[#This Row],[Quantidade]]</f>
        <v>4431.7551600000006</v>
      </c>
      <c r="V82" s="48">
        <f>INDEX(ResumoLotesSUPERBID[VMA Total do Lote],MATCH(Tabela1[[#This Row],[Lote]],ResumoLotesSUPERBID[LOTES],0))</f>
        <v>252430.51165920001</v>
      </c>
      <c r="W82" s="57">
        <f>Tabela1[[#This Row],[VMA - Total]]/Tabela1[[#This Row],[VMA total do Lote]]</f>
        <v>1.7556337111827431E-2</v>
      </c>
      <c r="X82" t="s">
        <v>392</v>
      </c>
      <c r="Y82" t="s">
        <v>393</v>
      </c>
      <c r="Z82" s="55" t="str">
        <f>Tabela1[[#This Row],[Material]]&amp;"-"&amp;Tabela1[[#This Row],[Centro
Origem]]&amp;"-"&amp;Tabela1[[#This Row],[Depósito]]&amp;"-"&amp;Tabela1[[#This Row],[Tipo de Avaliação]]&amp;"-"&amp;Tabela1[[#This Row],[Elemento PEP]]</f>
        <v>11292926-4419-JI01-USADO-</v>
      </c>
      <c r="AA82" s="58" t="str">
        <f>INDEX(ResumoLotesSUPERBID[Sugestão],MATCH(Tabela1[[#This Row],[Lote]],ResumoLotesSUPERBID[LOTES],0))</f>
        <v>Para Leilão</v>
      </c>
      <c r="AB82" s="56">
        <f>INDEX(ResumoLotesSUPERBID[VMA / Comparação],MATCH(Tabela1[[#This Row],[Lote]],ResumoLotesSUPERBID[LOTES],0))</f>
        <v>0.25708000285058707</v>
      </c>
      <c r="AC82" s="59" t="str">
        <f>INDEX(ResumoLotesSUPERBID[Descrição],MATCH(Tabela1[[#This Row],[Lote]],ResumoLotesSUPERBID[LOTES],0))</f>
        <v>1% do Valor de Comparação do VMA</v>
      </c>
    </row>
    <row r="83" spans="1:29" x14ac:dyDescent="0.25">
      <c r="A83" s="20" t="s">
        <v>208</v>
      </c>
      <c r="B83" t="s">
        <v>47</v>
      </c>
      <c r="D83" s="16" t="s">
        <v>190</v>
      </c>
      <c r="E83" t="s">
        <v>61</v>
      </c>
      <c r="F83" s="22">
        <v>11368211</v>
      </c>
      <c r="G83" t="s">
        <v>209</v>
      </c>
      <c r="H83" s="6">
        <v>4419</v>
      </c>
      <c r="J83" s="6" t="s">
        <v>386</v>
      </c>
      <c r="K83" t="s">
        <v>387</v>
      </c>
      <c r="M83">
        <v>1</v>
      </c>
      <c r="N83" t="s">
        <v>391</v>
      </c>
      <c r="O83" s="7">
        <v>1</v>
      </c>
      <c r="P83" s="7">
        <f>Tabela1[[#This Row],[Valor Contábil Unitário]]*Tabela1[[#This Row],[Quantidade]]</f>
        <v>1</v>
      </c>
      <c r="Q83" s="7">
        <v>35514.11</v>
      </c>
      <c r="R83" s="7">
        <f>Tabela1[[#This Row],[Valor de Reposição Unitário]]*Tabela1[[#This Row],[Quantidade]]</f>
        <v>35514.11</v>
      </c>
      <c r="S83" s="48">
        <f>IF(Tabela1[[#This Row],[Valor Contábil Total]]&gt;Tabela1[[#This Row],[Valor total de Reposição]],Tabela1[[#This Row],[Valor Contábil Total]],Tabela1[[#This Row],[Valor total de Reposição]])</f>
        <v>35514.11</v>
      </c>
      <c r="T83" s="7">
        <v>8949.5557200000003</v>
      </c>
      <c r="U83" s="7">
        <f>Tabela1[[#This Row],[VMA - Unitário]]*Tabela1[[#This Row],[Quantidade]]</f>
        <v>8949.5557200000003</v>
      </c>
      <c r="V83" s="48">
        <f>INDEX(ResumoLotesSUPERBID[VMA Total do Lote],MATCH(Tabela1[[#This Row],[Lote]],ResumoLotesSUPERBID[LOTES],0))</f>
        <v>252430.51165920001</v>
      </c>
      <c r="W83" s="57">
        <f>Tabela1[[#This Row],[VMA - Total]]/Tabela1[[#This Row],[VMA total do Lote]]</f>
        <v>3.5453541892283474E-2</v>
      </c>
      <c r="X83" t="s">
        <v>392</v>
      </c>
      <c r="Y83" t="s">
        <v>393</v>
      </c>
      <c r="Z83" s="55" t="str">
        <f>Tabela1[[#This Row],[Material]]&amp;"-"&amp;Tabela1[[#This Row],[Centro
Origem]]&amp;"-"&amp;Tabela1[[#This Row],[Depósito]]&amp;"-"&amp;Tabela1[[#This Row],[Tipo de Avaliação]]&amp;"-"&amp;Tabela1[[#This Row],[Elemento PEP]]</f>
        <v>11368211-4419-JI01-USADO-</v>
      </c>
      <c r="AA83" s="58" t="str">
        <f>INDEX(ResumoLotesSUPERBID[Sugestão],MATCH(Tabela1[[#This Row],[Lote]],ResumoLotesSUPERBID[LOTES],0))</f>
        <v>Para Leilão</v>
      </c>
      <c r="AB83" s="56">
        <f>INDEX(ResumoLotesSUPERBID[VMA / Comparação],MATCH(Tabela1[[#This Row],[Lote]],ResumoLotesSUPERBID[LOTES],0))</f>
        <v>0.25708000285058707</v>
      </c>
      <c r="AC83" s="59" t="str">
        <f>INDEX(ResumoLotesSUPERBID[Descrição],MATCH(Tabela1[[#This Row],[Lote]],ResumoLotesSUPERBID[LOTES],0))</f>
        <v>1% do Valor de Comparação do VMA</v>
      </c>
    </row>
    <row r="84" spans="1:29" x14ac:dyDescent="0.25">
      <c r="A84" s="20" t="s">
        <v>210</v>
      </c>
      <c r="B84" t="s">
        <v>47</v>
      </c>
      <c r="D84" s="16" t="s">
        <v>190</v>
      </c>
      <c r="E84" t="s">
        <v>61</v>
      </c>
      <c r="F84" s="22">
        <v>11391893</v>
      </c>
      <c r="G84" t="s">
        <v>211</v>
      </c>
      <c r="H84" s="6">
        <v>4419</v>
      </c>
      <c r="J84" s="6" t="s">
        <v>386</v>
      </c>
      <c r="K84" t="s">
        <v>387</v>
      </c>
      <c r="M84">
        <v>1</v>
      </c>
      <c r="N84" t="s">
        <v>391</v>
      </c>
      <c r="O84" s="7">
        <v>1</v>
      </c>
      <c r="P84" s="7">
        <f>Tabela1[[#This Row],[Valor Contábil Unitário]]*Tabela1[[#This Row],[Quantidade]]</f>
        <v>1</v>
      </c>
      <c r="Q84" s="7">
        <v>38746.78</v>
      </c>
      <c r="R84" s="7">
        <f>Tabela1[[#This Row],[Valor de Reposição Unitário]]*Tabela1[[#This Row],[Quantidade]]</f>
        <v>38746.78</v>
      </c>
      <c r="S84" s="48">
        <f>IF(Tabela1[[#This Row],[Valor Contábil Total]]&gt;Tabela1[[#This Row],[Valor total de Reposição]],Tabela1[[#This Row],[Valor Contábil Total]],Tabela1[[#This Row],[Valor total de Reposição]])</f>
        <v>38746.78</v>
      </c>
      <c r="T84" s="7">
        <v>9764.1885600000005</v>
      </c>
      <c r="U84" s="7">
        <f>Tabela1[[#This Row],[VMA - Unitário]]*Tabela1[[#This Row],[Quantidade]]</f>
        <v>9764.1885600000005</v>
      </c>
      <c r="V84" s="48">
        <f>INDEX(ResumoLotesSUPERBID[VMA Total do Lote],MATCH(Tabela1[[#This Row],[Lote]],ResumoLotesSUPERBID[LOTES],0))</f>
        <v>252430.51165920001</v>
      </c>
      <c r="W84" s="57">
        <f>Tabela1[[#This Row],[VMA - Total]]/Tabela1[[#This Row],[VMA total do Lote]]</f>
        <v>3.8680698683455438E-2</v>
      </c>
      <c r="X84" t="s">
        <v>392</v>
      </c>
      <c r="Y84" t="s">
        <v>393</v>
      </c>
      <c r="Z84" s="55" t="str">
        <f>Tabela1[[#This Row],[Material]]&amp;"-"&amp;Tabela1[[#This Row],[Centro
Origem]]&amp;"-"&amp;Tabela1[[#This Row],[Depósito]]&amp;"-"&amp;Tabela1[[#This Row],[Tipo de Avaliação]]&amp;"-"&amp;Tabela1[[#This Row],[Elemento PEP]]</f>
        <v>11391893-4419-JI01-USADO-</v>
      </c>
      <c r="AA84" s="58" t="str">
        <f>INDEX(ResumoLotesSUPERBID[Sugestão],MATCH(Tabela1[[#This Row],[Lote]],ResumoLotesSUPERBID[LOTES],0))</f>
        <v>Para Leilão</v>
      </c>
      <c r="AB84" s="56">
        <f>INDEX(ResumoLotesSUPERBID[VMA / Comparação],MATCH(Tabela1[[#This Row],[Lote]],ResumoLotesSUPERBID[LOTES],0))</f>
        <v>0.25708000285058707</v>
      </c>
      <c r="AC84" s="59" t="str">
        <f>INDEX(ResumoLotesSUPERBID[Descrição],MATCH(Tabela1[[#This Row],[Lote]],ResumoLotesSUPERBID[LOTES],0))</f>
        <v>1% do Valor de Comparação do VMA</v>
      </c>
    </row>
    <row r="85" spans="1:29" x14ac:dyDescent="0.25">
      <c r="A85" s="20" t="s">
        <v>212</v>
      </c>
      <c r="B85" t="s">
        <v>47</v>
      </c>
      <c r="D85" s="16" t="s">
        <v>190</v>
      </c>
      <c r="E85" t="s">
        <v>61</v>
      </c>
      <c r="F85" s="22">
        <v>11406764</v>
      </c>
      <c r="G85" t="s">
        <v>213</v>
      </c>
      <c r="H85" s="6">
        <v>4419</v>
      </c>
      <c r="J85" s="6" t="s">
        <v>386</v>
      </c>
      <c r="K85" t="s">
        <v>387</v>
      </c>
      <c r="M85">
        <v>1</v>
      </c>
      <c r="N85" t="s">
        <v>391</v>
      </c>
      <c r="O85" s="7">
        <v>1</v>
      </c>
      <c r="P85" s="7">
        <f>Tabela1[[#This Row],[Valor Contábil Unitário]]*Tabela1[[#This Row],[Quantidade]]</f>
        <v>1</v>
      </c>
      <c r="Q85" s="7">
        <v>20428.71</v>
      </c>
      <c r="R85" s="7">
        <f>Tabela1[[#This Row],[Valor de Reposição Unitário]]*Tabela1[[#This Row],[Quantidade]]</f>
        <v>20428.71</v>
      </c>
      <c r="S85" s="48">
        <f>IF(Tabela1[[#This Row],[Valor Contábil Total]]&gt;Tabela1[[#This Row],[Valor total de Reposição]],Tabela1[[#This Row],[Valor Contábil Total]],Tabela1[[#This Row],[Valor total de Reposição]])</f>
        <v>20428.71</v>
      </c>
      <c r="T85" s="7">
        <v>5148.0349200000001</v>
      </c>
      <c r="U85" s="7">
        <f>Tabela1[[#This Row],[VMA - Unitário]]*Tabela1[[#This Row],[Quantidade]]</f>
        <v>5148.0349200000001</v>
      </c>
      <c r="V85" s="48">
        <f>INDEX(ResumoLotesSUPERBID[VMA Total do Lote],MATCH(Tabela1[[#This Row],[Lote]],ResumoLotesSUPERBID[LOTES],0))</f>
        <v>252430.51165920001</v>
      </c>
      <c r="W85" s="57">
        <f>Tabela1[[#This Row],[VMA - Total]]/Tabela1[[#This Row],[VMA total do Lote]]</f>
        <v>2.0393869529331029E-2</v>
      </c>
      <c r="X85" t="s">
        <v>392</v>
      </c>
      <c r="Y85" t="s">
        <v>393</v>
      </c>
      <c r="Z85" s="55" t="str">
        <f>Tabela1[[#This Row],[Material]]&amp;"-"&amp;Tabela1[[#This Row],[Centro
Origem]]&amp;"-"&amp;Tabela1[[#This Row],[Depósito]]&amp;"-"&amp;Tabela1[[#This Row],[Tipo de Avaliação]]&amp;"-"&amp;Tabela1[[#This Row],[Elemento PEP]]</f>
        <v>11406764-4419-JI01-USADO-</v>
      </c>
      <c r="AA85" s="58" t="str">
        <f>INDEX(ResumoLotesSUPERBID[Sugestão],MATCH(Tabela1[[#This Row],[Lote]],ResumoLotesSUPERBID[LOTES],0))</f>
        <v>Para Leilão</v>
      </c>
      <c r="AB85" s="56">
        <f>INDEX(ResumoLotesSUPERBID[VMA / Comparação],MATCH(Tabela1[[#This Row],[Lote]],ResumoLotesSUPERBID[LOTES],0))</f>
        <v>0.25708000285058707</v>
      </c>
      <c r="AC85" s="59" t="str">
        <f>INDEX(ResumoLotesSUPERBID[Descrição],MATCH(Tabela1[[#This Row],[Lote]],ResumoLotesSUPERBID[LOTES],0))</f>
        <v>1% do Valor de Comparação do VMA</v>
      </c>
    </row>
    <row r="86" spans="1:29" x14ac:dyDescent="0.25">
      <c r="A86" s="20" t="s">
        <v>214</v>
      </c>
      <c r="B86" t="s">
        <v>47</v>
      </c>
      <c r="D86" s="16" t="s">
        <v>190</v>
      </c>
      <c r="E86" t="s">
        <v>61</v>
      </c>
      <c r="F86" s="22">
        <v>11407152</v>
      </c>
      <c r="G86" t="s">
        <v>215</v>
      </c>
      <c r="H86" s="6">
        <v>4419</v>
      </c>
      <c r="J86" s="6" t="s">
        <v>386</v>
      </c>
      <c r="K86" t="s">
        <v>387</v>
      </c>
      <c r="M86">
        <v>1</v>
      </c>
      <c r="N86" t="s">
        <v>391</v>
      </c>
      <c r="O86" s="7">
        <v>1</v>
      </c>
      <c r="P86" s="7">
        <f>Tabela1[[#This Row],[Valor Contábil Unitário]]*Tabela1[[#This Row],[Quantidade]]</f>
        <v>1</v>
      </c>
      <c r="Q86" s="7">
        <v>13389.76</v>
      </c>
      <c r="R86" s="7">
        <f>Tabela1[[#This Row],[Valor de Reposição Unitário]]*Tabela1[[#This Row],[Quantidade]]</f>
        <v>13389.76</v>
      </c>
      <c r="S86" s="48">
        <f>IF(Tabela1[[#This Row],[Valor Contábil Total]]&gt;Tabela1[[#This Row],[Valor total de Reposição]],Tabela1[[#This Row],[Valor Contábil Total]],Tabela1[[#This Row],[Valor total de Reposição]])</f>
        <v>13389.76</v>
      </c>
      <c r="T86" s="7">
        <v>3374.2195200000001</v>
      </c>
      <c r="U86" s="7">
        <f>Tabela1[[#This Row],[VMA - Unitário]]*Tabela1[[#This Row],[Quantidade]]</f>
        <v>3374.2195200000001</v>
      </c>
      <c r="V86" s="48">
        <f>INDEX(ResumoLotesSUPERBID[VMA Total do Lote],MATCH(Tabela1[[#This Row],[Lote]],ResumoLotesSUPERBID[LOTES],0))</f>
        <v>252430.51165920001</v>
      </c>
      <c r="W86" s="57">
        <f>Tabela1[[#This Row],[VMA - Total]]/Tabela1[[#This Row],[VMA total do Lote]]</f>
        <v>1.3366924219348918E-2</v>
      </c>
      <c r="X86" t="s">
        <v>392</v>
      </c>
      <c r="Y86" t="s">
        <v>393</v>
      </c>
      <c r="Z86" s="55" t="str">
        <f>Tabela1[[#This Row],[Material]]&amp;"-"&amp;Tabela1[[#This Row],[Centro
Origem]]&amp;"-"&amp;Tabela1[[#This Row],[Depósito]]&amp;"-"&amp;Tabela1[[#This Row],[Tipo de Avaliação]]&amp;"-"&amp;Tabela1[[#This Row],[Elemento PEP]]</f>
        <v>11407152-4419-JI01-USADO-</v>
      </c>
      <c r="AA86" s="58" t="str">
        <f>INDEX(ResumoLotesSUPERBID[Sugestão],MATCH(Tabela1[[#This Row],[Lote]],ResumoLotesSUPERBID[LOTES],0))</f>
        <v>Para Leilão</v>
      </c>
      <c r="AB86" s="56">
        <f>INDEX(ResumoLotesSUPERBID[VMA / Comparação],MATCH(Tabela1[[#This Row],[Lote]],ResumoLotesSUPERBID[LOTES],0))</f>
        <v>0.25708000285058707</v>
      </c>
      <c r="AC86" s="59" t="str">
        <f>INDEX(ResumoLotesSUPERBID[Descrição],MATCH(Tabela1[[#This Row],[Lote]],ResumoLotesSUPERBID[LOTES],0))</f>
        <v>1% do Valor de Comparação do VMA</v>
      </c>
    </row>
    <row r="87" spans="1:29" x14ac:dyDescent="0.25">
      <c r="A87" s="20" t="s">
        <v>216</v>
      </c>
      <c r="B87" t="s">
        <v>47</v>
      </c>
      <c r="D87" s="16" t="s">
        <v>217</v>
      </c>
      <c r="E87" t="s">
        <v>61</v>
      </c>
      <c r="F87" s="22">
        <v>10589546</v>
      </c>
      <c r="G87" t="s">
        <v>218</v>
      </c>
      <c r="H87" s="6">
        <v>4419</v>
      </c>
      <c r="J87" s="6" t="s">
        <v>386</v>
      </c>
      <c r="K87" t="s">
        <v>383</v>
      </c>
      <c r="M87">
        <v>17</v>
      </c>
      <c r="N87" t="s">
        <v>391</v>
      </c>
      <c r="O87" s="7">
        <v>1</v>
      </c>
      <c r="P87" s="7">
        <f>Tabela1[[#This Row],[Valor Contábil Unitário]]*Tabela1[[#This Row],[Quantidade]]</f>
        <v>17</v>
      </c>
      <c r="Q87" s="7">
        <v>1.1955555555555555</v>
      </c>
      <c r="R87" s="7">
        <f>Tabela1[[#This Row],[Valor de Reposição Unitário]]*Tabela1[[#This Row],[Quantidade]]</f>
        <v>20.324444444444442</v>
      </c>
      <c r="S87" s="48">
        <f>IF(Tabela1[[#This Row],[Valor Contábil Total]]&gt;Tabela1[[#This Row],[Valor total de Reposição]],Tabela1[[#This Row],[Valor Contábil Total]],Tabela1[[#This Row],[Valor total de Reposição]])</f>
        <v>20.324444444444442</v>
      </c>
      <c r="T87" s="7">
        <v>4.3039999999999995E-2</v>
      </c>
      <c r="U87" s="7">
        <f>Tabela1[[#This Row],[VMA - Unitário]]*Tabela1[[#This Row],[Quantidade]]</f>
        <v>0.73167999999999989</v>
      </c>
      <c r="V87" s="48">
        <f>INDEX(ResumoLotesSUPERBID[VMA Total do Lote],MATCH(Tabela1[[#This Row],[Lote]],ResumoLotesSUPERBID[LOTES],0))</f>
        <v>34868.674761999995</v>
      </c>
      <c r="W87" s="57">
        <f>Tabela1[[#This Row],[VMA - Total]]/Tabela1[[#This Row],[VMA total do Lote]]</f>
        <v>2.0983877505932269E-5</v>
      </c>
      <c r="X87" t="s">
        <v>392</v>
      </c>
      <c r="Y87" t="s">
        <v>393</v>
      </c>
      <c r="Z87" s="55" t="str">
        <f>Tabela1[[#This Row],[Material]]&amp;"-"&amp;Tabela1[[#This Row],[Centro
Origem]]&amp;"-"&amp;Tabela1[[#This Row],[Depósito]]&amp;"-"&amp;Tabela1[[#This Row],[Tipo de Avaliação]]&amp;"-"&amp;Tabela1[[#This Row],[Elemento PEP]]</f>
        <v>10589546-4419-JI01-A RECUPER-</v>
      </c>
      <c r="AA87" s="58" t="str">
        <f>INDEX(ResumoLotesSUPERBID[Sugestão],MATCH(Tabela1[[#This Row],[Lote]],ResumoLotesSUPERBID[LOTES],0))</f>
        <v>Para Leilão</v>
      </c>
      <c r="AB87" s="56">
        <f>INDEX(ResumoLotesSUPERBID[VMA / Comparação],MATCH(Tabela1[[#This Row],[Lote]],ResumoLotesSUPERBID[LOTES],0))</f>
        <v>5.413066988176761E-2</v>
      </c>
      <c r="AC87" s="59" t="str">
        <f>INDEX(ResumoLotesSUPERBID[Descrição],MATCH(Tabela1[[#This Row],[Lote]],ResumoLotesSUPERBID[LOTES],0))</f>
        <v>1% do Valor de Comparação do VMA</v>
      </c>
    </row>
    <row r="88" spans="1:29" x14ac:dyDescent="0.25">
      <c r="A88" s="20" t="s">
        <v>219</v>
      </c>
      <c r="B88" t="s">
        <v>47</v>
      </c>
      <c r="D88" s="16" t="s">
        <v>217</v>
      </c>
      <c r="E88" t="s">
        <v>61</v>
      </c>
      <c r="F88" s="22">
        <v>10646172</v>
      </c>
      <c r="G88" t="s">
        <v>218</v>
      </c>
      <c r="H88" s="6">
        <v>4419</v>
      </c>
      <c r="J88" s="6" t="s">
        <v>386</v>
      </c>
      <c r="K88" t="s">
        <v>383</v>
      </c>
      <c r="M88">
        <v>10</v>
      </c>
      <c r="N88" t="s">
        <v>391</v>
      </c>
      <c r="O88" s="7">
        <v>1</v>
      </c>
      <c r="P88" s="7">
        <f>Tabela1[[#This Row],[Valor Contábil Unitário]]*Tabela1[[#This Row],[Quantidade]]</f>
        <v>10</v>
      </c>
      <c r="Q88" s="7">
        <v>3.2264499999999998</v>
      </c>
      <c r="R88" s="7">
        <f>Tabela1[[#This Row],[Valor de Reposição Unitário]]*Tabela1[[#This Row],[Quantidade]]</f>
        <v>32.264499999999998</v>
      </c>
      <c r="S88" s="48">
        <f>IF(Tabela1[[#This Row],[Valor Contábil Total]]&gt;Tabela1[[#This Row],[Valor total de Reposição]],Tabela1[[#This Row],[Valor Contábil Total]],Tabela1[[#This Row],[Valor total de Reposição]])</f>
        <v>32.264499999999998</v>
      </c>
      <c r="T88" s="7">
        <v>0.1161522</v>
      </c>
      <c r="U88" s="7">
        <f>Tabela1[[#This Row],[VMA - Unitário]]*Tabela1[[#This Row],[Quantidade]]</f>
        <v>1.1615219999999999</v>
      </c>
      <c r="V88" s="48">
        <f>INDEX(ResumoLotesSUPERBID[VMA Total do Lote],MATCH(Tabela1[[#This Row],[Lote]],ResumoLotesSUPERBID[LOTES],0))</f>
        <v>34868.674761999995</v>
      </c>
      <c r="W88" s="57">
        <f>Tabela1[[#This Row],[VMA - Total]]/Tabela1[[#This Row],[VMA total do Lote]]</f>
        <v>3.3311331959935303E-5</v>
      </c>
      <c r="X88" t="s">
        <v>392</v>
      </c>
      <c r="Y88" t="s">
        <v>393</v>
      </c>
      <c r="Z88" s="55" t="str">
        <f>Tabela1[[#This Row],[Material]]&amp;"-"&amp;Tabela1[[#This Row],[Centro
Origem]]&amp;"-"&amp;Tabela1[[#This Row],[Depósito]]&amp;"-"&amp;Tabela1[[#This Row],[Tipo de Avaliação]]&amp;"-"&amp;Tabela1[[#This Row],[Elemento PEP]]</f>
        <v>10646172-4419-JI01-A RECUPER-</v>
      </c>
      <c r="AA88" s="58" t="str">
        <f>INDEX(ResumoLotesSUPERBID[Sugestão],MATCH(Tabela1[[#This Row],[Lote]],ResumoLotesSUPERBID[LOTES],0))</f>
        <v>Para Leilão</v>
      </c>
      <c r="AB88" s="56">
        <f>INDEX(ResumoLotesSUPERBID[VMA / Comparação],MATCH(Tabela1[[#This Row],[Lote]],ResumoLotesSUPERBID[LOTES],0))</f>
        <v>5.413066988176761E-2</v>
      </c>
      <c r="AC88" s="59" t="str">
        <f>INDEX(ResumoLotesSUPERBID[Descrição],MATCH(Tabela1[[#This Row],[Lote]],ResumoLotesSUPERBID[LOTES],0))</f>
        <v>1% do Valor de Comparação do VMA</v>
      </c>
    </row>
    <row r="89" spans="1:29" x14ac:dyDescent="0.25">
      <c r="A89" s="20" t="s">
        <v>220</v>
      </c>
      <c r="B89" t="s">
        <v>47</v>
      </c>
      <c r="D89" s="16" t="s">
        <v>217</v>
      </c>
      <c r="E89" t="s">
        <v>61</v>
      </c>
      <c r="F89" s="22">
        <v>11080870</v>
      </c>
      <c r="G89" t="s">
        <v>221</v>
      </c>
      <c r="H89" s="6">
        <v>4419</v>
      </c>
      <c r="J89" s="6" t="s">
        <v>386</v>
      </c>
      <c r="K89" t="s">
        <v>385</v>
      </c>
      <c r="M89">
        <v>1</v>
      </c>
      <c r="N89" t="s">
        <v>391</v>
      </c>
      <c r="O89" s="7">
        <v>1576.29</v>
      </c>
      <c r="P89" s="7">
        <f>Tabela1[[#This Row],[Valor Contábil Unitário]]*Tabela1[[#This Row],[Quantidade]]</f>
        <v>1576.29</v>
      </c>
      <c r="Q89" s="7">
        <v>1576.29</v>
      </c>
      <c r="R89" s="7">
        <f>Tabela1[[#This Row],[Valor de Reposição Unitário]]*Tabela1[[#This Row],[Quantidade]]</f>
        <v>1576.29</v>
      </c>
      <c r="S89" s="48">
        <f>IF(Tabela1[[#This Row],[Valor Contábil Total]]&gt;Tabela1[[#This Row],[Valor total de Reposição]],Tabela1[[#This Row],[Valor Contábil Total]],Tabela1[[#This Row],[Valor total de Reposição]])</f>
        <v>1576.29</v>
      </c>
      <c r="T89" s="7">
        <v>170.23931999999999</v>
      </c>
      <c r="U89" s="7">
        <f>Tabela1[[#This Row],[VMA - Unitário]]*Tabela1[[#This Row],[Quantidade]]</f>
        <v>170.23931999999999</v>
      </c>
      <c r="V89" s="48">
        <f>INDEX(ResumoLotesSUPERBID[VMA Total do Lote],MATCH(Tabela1[[#This Row],[Lote]],ResumoLotesSUPERBID[LOTES],0))</f>
        <v>34868.674761999995</v>
      </c>
      <c r="W89" s="57">
        <f>Tabela1[[#This Row],[VMA - Total]]/Tabela1[[#This Row],[VMA total do Lote]]</f>
        <v>4.882299690538495E-3</v>
      </c>
      <c r="X89" t="s">
        <v>392</v>
      </c>
      <c r="Y89" t="s">
        <v>393</v>
      </c>
      <c r="Z89" s="55" t="str">
        <f>Tabela1[[#This Row],[Material]]&amp;"-"&amp;Tabela1[[#This Row],[Centro
Origem]]&amp;"-"&amp;Tabela1[[#This Row],[Depósito]]&amp;"-"&amp;Tabela1[[#This Row],[Tipo de Avaliação]]&amp;"-"&amp;Tabela1[[#This Row],[Elemento PEP]]</f>
        <v>11080870-4419-JI01-IMOB/NAC-</v>
      </c>
      <c r="AA89" s="58" t="str">
        <f>INDEX(ResumoLotesSUPERBID[Sugestão],MATCH(Tabela1[[#This Row],[Lote]],ResumoLotesSUPERBID[LOTES],0))</f>
        <v>Para Leilão</v>
      </c>
      <c r="AB89" s="56">
        <f>INDEX(ResumoLotesSUPERBID[VMA / Comparação],MATCH(Tabela1[[#This Row],[Lote]],ResumoLotesSUPERBID[LOTES],0))</f>
        <v>5.413066988176761E-2</v>
      </c>
      <c r="AC89" s="59" t="str">
        <f>INDEX(ResumoLotesSUPERBID[Descrição],MATCH(Tabela1[[#This Row],[Lote]],ResumoLotesSUPERBID[LOTES],0))</f>
        <v>1% do Valor de Comparação do VMA</v>
      </c>
    </row>
    <row r="90" spans="1:29" x14ac:dyDescent="0.25">
      <c r="A90" s="20" t="s">
        <v>222</v>
      </c>
      <c r="B90" t="s">
        <v>47</v>
      </c>
      <c r="D90" s="16" t="s">
        <v>217</v>
      </c>
      <c r="E90" t="s">
        <v>61</v>
      </c>
      <c r="F90" s="22">
        <v>11080872</v>
      </c>
      <c r="G90" t="s">
        <v>223</v>
      </c>
      <c r="H90" s="6">
        <v>4419</v>
      </c>
      <c r="J90" s="6" t="s">
        <v>386</v>
      </c>
      <c r="K90" t="s">
        <v>385</v>
      </c>
      <c r="M90">
        <v>2</v>
      </c>
      <c r="N90" t="s">
        <v>391</v>
      </c>
      <c r="O90" s="7">
        <v>293224.03999999998</v>
      </c>
      <c r="P90" s="7">
        <f>Tabela1[[#This Row],[Valor Contábil Unitário]]*Tabela1[[#This Row],[Quantidade]]</f>
        <v>586448.07999999996</v>
      </c>
      <c r="Q90" s="7">
        <v>146612.01749999999</v>
      </c>
      <c r="R90" s="7">
        <f>Tabela1[[#This Row],[Valor de Reposição Unitário]]*Tabela1[[#This Row],[Quantidade]]</f>
        <v>293224.03499999997</v>
      </c>
      <c r="S90" s="48">
        <f>IF(Tabela1[[#This Row],[Valor Contábil Total]]&gt;Tabela1[[#This Row],[Valor total de Reposição]],Tabela1[[#This Row],[Valor Contábil Total]],Tabela1[[#This Row],[Valor total de Reposição]])</f>
        <v>586448.07999999996</v>
      </c>
      <c r="T90" s="7">
        <v>15834.097889999999</v>
      </c>
      <c r="U90" s="7">
        <f>Tabela1[[#This Row],[VMA - Unitário]]*Tabela1[[#This Row],[Quantidade]]</f>
        <v>31668.195779999998</v>
      </c>
      <c r="V90" s="48">
        <f>INDEX(ResumoLotesSUPERBID[VMA Total do Lote],MATCH(Tabela1[[#This Row],[Lote]],ResumoLotesSUPERBID[LOTES],0))</f>
        <v>34868.674761999995</v>
      </c>
      <c r="W90" s="57">
        <f>Tabela1[[#This Row],[VMA - Total]]/Tabela1[[#This Row],[VMA total do Lote]]</f>
        <v>0.90821334610950311</v>
      </c>
      <c r="X90" t="s">
        <v>392</v>
      </c>
      <c r="Y90" t="s">
        <v>393</v>
      </c>
      <c r="Z90" s="55" t="str">
        <f>Tabela1[[#This Row],[Material]]&amp;"-"&amp;Tabela1[[#This Row],[Centro
Origem]]&amp;"-"&amp;Tabela1[[#This Row],[Depósito]]&amp;"-"&amp;Tabela1[[#This Row],[Tipo de Avaliação]]&amp;"-"&amp;Tabela1[[#This Row],[Elemento PEP]]</f>
        <v>11080872-4419-JI01-IMOB/NAC-</v>
      </c>
      <c r="AA90" s="58" t="str">
        <f>INDEX(ResumoLotesSUPERBID[Sugestão],MATCH(Tabela1[[#This Row],[Lote]],ResumoLotesSUPERBID[LOTES],0))</f>
        <v>Para Leilão</v>
      </c>
      <c r="AB90" s="56">
        <f>INDEX(ResumoLotesSUPERBID[VMA / Comparação],MATCH(Tabela1[[#This Row],[Lote]],ResumoLotesSUPERBID[LOTES],0))</f>
        <v>5.413066988176761E-2</v>
      </c>
      <c r="AC90" s="59" t="str">
        <f>INDEX(ResumoLotesSUPERBID[Descrição],MATCH(Tabela1[[#This Row],[Lote]],ResumoLotesSUPERBID[LOTES],0))</f>
        <v>1% do Valor de Comparação do VMA</v>
      </c>
    </row>
    <row r="91" spans="1:29" x14ac:dyDescent="0.25">
      <c r="A91" s="20" t="s">
        <v>224</v>
      </c>
      <c r="B91" t="s">
        <v>47</v>
      </c>
      <c r="D91" s="16" t="s">
        <v>217</v>
      </c>
      <c r="E91" t="s">
        <v>61</v>
      </c>
      <c r="F91" s="22">
        <v>11080991</v>
      </c>
      <c r="G91" t="s">
        <v>225</v>
      </c>
      <c r="H91" s="6">
        <v>4419</v>
      </c>
      <c r="J91" s="6" t="s">
        <v>386</v>
      </c>
      <c r="K91" t="s">
        <v>385</v>
      </c>
      <c r="M91">
        <v>2</v>
      </c>
      <c r="N91" t="s">
        <v>391</v>
      </c>
      <c r="O91" s="7">
        <v>28040.25</v>
      </c>
      <c r="P91" s="7">
        <f>Tabela1[[#This Row],[Valor Contábil Unitário]]*Tabela1[[#This Row],[Quantidade]]</f>
        <v>56080.5</v>
      </c>
      <c r="Q91" s="7">
        <v>14020.122499999999</v>
      </c>
      <c r="R91" s="7">
        <f>Tabela1[[#This Row],[Valor de Reposição Unitário]]*Tabela1[[#This Row],[Quantidade]]</f>
        <v>28040.244999999999</v>
      </c>
      <c r="S91" s="48">
        <f>IF(Tabela1[[#This Row],[Valor Contábil Total]]&gt;Tabela1[[#This Row],[Valor total de Reposição]],Tabela1[[#This Row],[Valor Contábil Total]],Tabela1[[#This Row],[Valor total de Reposição]])</f>
        <v>56080.5</v>
      </c>
      <c r="T91" s="7">
        <v>1514.1732299999999</v>
      </c>
      <c r="U91" s="7">
        <f>Tabela1[[#This Row],[VMA - Unitário]]*Tabela1[[#This Row],[Quantidade]]</f>
        <v>3028.3464599999998</v>
      </c>
      <c r="V91" s="48">
        <f>INDEX(ResumoLotesSUPERBID[VMA Total do Lote],MATCH(Tabela1[[#This Row],[Lote]],ResumoLotesSUPERBID[LOTES],0))</f>
        <v>34868.674761999995</v>
      </c>
      <c r="W91" s="57">
        <f>Tabela1[[#This Row],[VMA - Total]]/Tabela1[[#This Row],[VMA total do Lote]]</f>
        <v>8.6850058990492585E-2</v>
      </c>
      <c r="X91" t="s">
        <v>392</v>
      </c>
      <c r="Y91" t="s">
        <v>393</v>
      </c>
      <c r="Z91" s="55" t="str">
        <f>Tabela1[[#This Row],[Material]]&amp;"-"&amp;Tabela1[[#This Row],[Centro
Origem]]&amp;"-"&amp;Tabela1[[#This Row],[Depósito]]&amp;"-"&amp;Tabela1[[#This Row],[Tipo de Avaliação]]&amp;"-"&amp;Tabela1[[#This Row],[Elemento PEP]]</f>
        <v>11080991-4419-JI01-IMOB/NAC-</v>
      </c>
      <c r="AA91" s="58" t="str">
        <f>INDEX(ResumoLotesSUPERBID[Sugestão],MATCH(Tabela1[[#This Row],[Lote]],ResumoLotesSUPERBID[LOTES],0))</f>
        <v>Para Leilão</v>
      </c>
      <c r="AB91" s="56">
        <f>INDEX(ResumoLotesSUPERBID[VMA / Comparação],MATCH(Tabela1[[#This Row],[Lote]],ResumoLotesSUPERBID[LOTES],0))</f>
        <v>5.413066988176761E-2</v>
      </c>
      <c r="AC91" s="59" t="str">
        <f>INDEX(ResumoLotesSUPERBID[Descrição],MATCH(Tabela1[[#This Row],[Lote]],ResumoLotesSUPERBID[LOTES],0))</f>
        <v>1% do Valor de Comparação do VMA</v>
      </c>
    </row>
    <row r="92" spans="1:29" x14ac:dyDescent="0.25">
      <c r="A92" s="20" t="s">
        <v>226</v>
      </c>
      <c r="B92" t="s">
        <v>47</v>
      </c>
      <c r="D92" s="16" t="s">
        <v>227</v>
      </c>
      <c r="E92" t="s">
        <v>49</v>
      </c>
      <c r="F92" s="22">
        <v>10957271</v>
      </c>
      <c r="G92" t="s">
        <v>228</v>
      </c>
      <c r="H92" s="6">
        <v>4419</v>
      </c>
      <c r="J92" s="6" t="s">
        <v>382</v>
      </c>
      <c r="K92" t="s">
        <v>385</v>
      </c>
      <c r="M92">
        <v>41</v>
      </c>
      <c r="N92" t="s">
        <v>391</v>
      </c>
      <c r="O92" s="7">
        <v>23911.37</v>
      </c>
      <c r="P92" s="7">
        <f>Tabela1[[#This Row],[Valor Contábil Unitário]]*Tabela1[[#This Row],[Quantidade]]</f>
        <v>980366.16999999993</v>
      </c>
      <c r="Q92" s="7">
        <v>23911.370731707317</v>
      </c>
      <c r="R92" s="7">
        <f>Tabela1[[#This Row],[Valor de Reposição Unitário]]*Tabela1[[#This Row],[Quantidade]]</f>
        <v>980366.2</v>
      </c>
      <c r="S92" s="48">
        <f>IF(Tabela1[[#This Row],[Valor Contábil Total]]&gt;Tabela1[[#This Row],[Valor total de Reposição]],Tabela1[[#This Row],[Valor Contábil Total]],Tabela1[[#This Row],[Valor total de Reposição]])</f>
        <v>980366.2</v>
      </c>
      <c r="T92" s="7">
        <v>1434.6822439024388</v>
      </c>
      <c r="U92" s="7">
        <f>Tabela1[[#This Row],[VMA - Unitário]]*Tabela1[[#This Row],[Quantidade]]</f>
        <v>58821.971999999994</v>
      </c>
      <c r="V92" s="48">
        <f>INDEX(ResumoLotesSUPERBID[VMA Total do Lote],MATCH(Tabela1[[#This Row],[Lote]],ResumoLotesSUPERBID[LOTES],0))</f>
        <v>349148.19361582916</v>
      </c>
      <c r="W92" s="57">
        <f>Tabela1[[#This Row],[VMA - Total]]/Tabela1[[#This Row],[VMA total do Lote]]</f>
        <v>0.16847279486349664</v>
      </c>
      <c r="X92" t="s">
        <v>392</v>
      </c>
      <c r="Y92" t="s">
        <v>393</v>
      </c>
      <c r="Z92" s="55" t="str">
        <f>Tabela1[[#This Row],[Material]]&amp;"-"&amp;Tabela1[[#This Row],[Centro
Origem]]&amp;"-"&amp;Tabela1[[#This Row],[Depósito]]&amp;"-"&amp;Tabela1[[#This Row],[Tipo de Avaliação]]&amp;"-"&amp;Tabela1[[#This Row],[Elemento PEP]]</f>
        <v>10957271-4419-JI02-IMOB/NAC-</v>
      </c>
      <c r="AA92" s="58" t="str">
        <f>INDEX(ResumoLotesSUPERBID[Sugestão],MATCH(Tabela1[[#This Row],[Lote]],ResumoLotesSUPERBID[LOTES],0))</f>
        <v>Para Leilão</v>
      </c>
      <c r="AB92" s="56">
        <f>INDEX(ResumoLotesSUPERBID[VMA / Comparação],MATCH(Tabela1[[#This Row],[Lote]],ResumoLotesSUPERBID[LOTES],0))</f>
        <v>5.999999928096364E-2</v>
      </c>
      <c r="AC92" s="59" t="str">
        <f>INDEX(ResumoLotesSUPERBID[Descrição],MATCH(Tabela1[[#This Row],[Lote]],ResumoLotesSUPERBID[LOTES],0))</f>
        <v>1% do Valor de Comparação do VMA</v>
      </c>
    </row>
    <row r="93" spans="1:29" x14ac:dyDescent="0.25">
      <c r="A93" s="20" t="s">
        <v>229</v>
      </c>
      <c r="B93" t="s">
        <v>47</v>
      </c>
      <c r="D93" s="16" t="s">
        <v>227</v>
      </c>
      <c r="E93" t="s">
        <v>49</v>
      </c>
      <c r="F93" s="22">
        <v>11190589</v>
      </c>
      <c r="G93" t="s">
        <v>230</v>
      </c>
      <c r="H93" s="6">
        <v>4419</v>
      </c>
      <c r="J93" s="6" t="s">
        <v>382</v>
      </c>
      <c r="K93" t="s">
        <v>385</v>
      </c>
      <c r="M93">
        <v>96</v>
      </c>
      <c r="N93" t="s">
        <v>391</v>
      </c>
      <c r="O93" s="7">
        <v>34235.08</v>
      </c>
      <c r="P93" s="7">
        <f>Tabela1[[#This Row],[Valor Contábil Unitário]]*Tabela1[[#This Row],[Quantidade]]</f>
        <v>3286567.68</v>
      </c>
      <c r="Q93" s="7">
        <v>34235.083020833335</v>
      </c>
      <c r="R93" s="7">
        <f>Tabela1[[#This Row],[Valor de Reposição Unitário]]*Tabela1[[#This Row],[Quantidade]]</f>
        <v>3286567.97</v>
      </c>
      <c r="S93" s="48">
        <f>IF(Tabela1[[#This Row],[Valor Contábil Total]]&gt;Tabela1[[#This Row],[Valor total de Reposição]],Tabela1[[#This Row],[Valor Contábil Total]],Tabela1[[#This Row],[Valor total de Reposição]])</f>
        <v>3286567.97</v>
      </c>
      <c r="T93" s="7">
        <v>2054.10498125</v>
      </c>
      <c r="U93" s="7">
        <f>Tabela1[[#This Row],[VMA - Unitário]]*Tabela1[[#This Row],[Quantidade]]</f>
        <v>197194.07819999999</v>
      </c>
      <c r="V93" s="48">
        <f>INDEX(ResumoLotesSUPERBID[VMA Total do Lote],MATCH(Tabela1[[#This Row],[Lote]],ResumoLotesSUPERBID[LOTES],0))</f>
        <v>349148.19361582916</v>
      </c>
      <c r="W93" s="57">
        <f>Tabela1[[#This Row],[VMA - Total]]/Tabela1[[#This Row],[VMA total do Lote]]</f>
        <v>0.5647861905222239</v>
      </c>
      <c r="X93" t="s">
        <v>392</v>
      </c>
      <c r="Y93" t="s">
        <v>393</v>
      </c>
      <c r="Z93" s="55" t="str">
        <f>Tabela1[[#This Row],[Material]]&amp;"-"&amp;Tabela1[[#This Row],[Centro
Origem]]&amp;"-"&amp;Tabela1[[#This Row],[Depósito]]&amp;"-"&amp;Tabela1[[#This Row],[Tipo de Avaliação]]&amp;"-"&amp;Tabela1[[#This Row],[Elemento PEP]]</f>
        <v>11190589-4419-JI02-IMOB/NAC-</v>
      </c>
      <c r="AA93" s="58" t="str">
        <f>INDEX(ResumoLotesSUPERBID[Sugestão],MATCH(Tabela1[[#This Row],[Lote]],ResumoLotesSUPERBID[LOTES],0))</f>
        <v>Para Leilão</v>
      </c>
      <c r="AB93" s="56">
        <f>INDEX(ResumoLotesSUPERBID[VMA / Comparação],MATCH(Tabela1[[#This Row],[Lote]],ResumoLotesSUPERBID[LOTES],0))</f>
        <v>5.999999928096364E-2</v>
      </c>
      <c r="AC93" s="59" t="str">
        <f>INDEX(ResumoLotesSUPERBID[Descrição],MATCH(Tabela1[[#This Row],[Lote]],ResumoLotesSUPERBID[LOTES],0))</f>
        <v>1% do Valor de Comparação do VMA</v>
      </c>
    </row>
    <row r="94" spans="1:29" x14ac:dyDescent="0.25">
      <c r="A94" s="20" t="s">
        <v>231</v>
      </c>
      <c r="B94" t="s">
        <v>47</v>
      </c>
      <c r="D94" s="16" t="s">
        <v>227</v>
      </c>
      <c r="E94" t="s">
        <v>49</v>
      </c>
      <c r="F94" s="22">
        <v>11235858</v>
      </c>
      <c r="G94" t="s">
        <v>232</v>
      </c>
      <c r="H94" s="6">
        <v>4419</v>
      </c>
      <c r="J94" s="6" t="s">
        <v>382</v>
      </c>
      <c r="K94" t="s">
        <v>389</v>
      </c>
      <c r="M94">
        <v>61</v>
      </c>
      <c r="N94" t="s">
        <v>391</v>
      </c>
      <c r="O94" s="7">
        <v>22024.47</v>
      </c>
      <c r="P94" s="7">
        <f>Tabela1[[#This Row],[Valor Contábil Unitário]]*Tabela1[[#This Row],[Quantidade]]</f>
        <v>1343492.6700000002</v>
      </c>
      <c r="Q94" s="7">
        <v>22024.468856783922</v>
      </c>
      <c r="R94" s="7">
        <f>Tabela1[[#This Row],[Valor de Reposição Unitário]]*Tabela1[[#This Row],[Quantidade]]</f>
        <v>1343492.6002638193</v>
      </c>
      <c r="S94" s="48">
        <f>IF(Tabela1[[#This Row],[Valor Contábil Total]]&gt;Tabela1[[#This Row],[Valor total de Reposição]],Tabela1[[#This Row],[Valor Contábil Total]],Tabela1[[#This Row],[Valor total de Reposição]])</f>
        <v>1343492.6700000002</v>
      </c>
      <c r="T94" s="7">
        <v>1321.4681314070353</v>
      </c>
      <c r="U94" s="7">
        <f>Tabela1[[#This Row],[VMA - Unitário]]*Tabela1[[#This Row],[Quantidade]]</f>
        <v>80609.556015829163</v>
      </c>
      <c r="V94" s="48">
        <f>INDEX(ResumoLotesSUPERBID[VMA Total do Lote],MATCH(Tabela1[[#This Row],[Lote]],ResumoLotesSUPERBID[LOTES],0))</f>
        <v>349148.19361582916</v>
      </c>
      <c r="W94" s="57">
        <f>Tabela1[[#This Row],[VMA - Total]]/Tabela1[[#This Row],[VMA total do Lote]]</f>
        <v>0.23087490495375315</v>
      </c>
      <c r="X94" t="s">
        <v>392</v>
      </c>
      <c r="Y94" t="s">
        <v>393</v>
      </c>
      <c r="Z94" s="55" t="str">
        <f>Tabela1[[#This Row],[Material]]&amp;"-"&amp;Tabela1[[#This Row],[Centro
Origem]]&amp;"-"&amp;Tabela1[[#This Row],[Depósito]]&amp;"-"&amp;Tabela1[[#This Row],[Tipo de Avaliação]]&amp;"-"&amp;Tabela1[[#This Row],[Elemento PEP]]</f>
        <v>11235858-4419-JI02-IMOB/IMP-</v>
      </c>
      <c r="AA94" s="58" t="str">
        <f>INDEX(ResumoLotesSUPERBID[Sugestão],MATCH(Tabela1[[#This Row],[Lote]],ResumoLotesSUPERBID[LOTES],0))</f>
        <v>Para Leilão</v>
      </c>
      <c r="AB94" s="56">
        <f>INDEX(ResumoLotesSUPERBID[VMA / Comparação],MATCH(Tabela1[[#This Row],[Lote]],ResumoLotesSUPERBID[LOTES],0))</f>
        <v>5.999999928096364E-2</v>
      </c>
      <c r="AC94" s="59" t="str">
        <f>INDEX(ResumoLotesSUPERBID[Descrição],MATCH(Tabela1[[#This Row],[Lote]],ResumoLotesSUPERBID[LOTES],0))</f>
        <v>1% do Valor de Comparação do VMA</v>
      </c>
    </row>
    <row r="95" spans="1:29" x14ac:dyDescent="0.25">
      <c r="A95" s="20" t="s">
        <v>233</v>
      </c>
      <c r="B95" t="s">
        <v>47</v>
      </c>
      <c r="D95" s="16" t="s">
        <v>227</v>
      </c>
      <c r="E95" t="s">
        <v>49</v>
      </c>
      <c r="F95" s="22">
        <v>11820870</v>
      </c>
      <c r="G95" t="s">
        <v>234</v>
      </c>
      <c r="H95" s="6">
        <v>4419</v>
      </c>
      <c r="J95" s="6" t="s">
        <v>382</v>
      </c>
      <c r="K95" t="s">
        <v>385</v>
      </c>
      <c r="M95">
        <v>11</v>
      </c>
      <c r="N95" t="s">
        <v>391</v>
      </c>
      <c r="O95" s="7">
        <v>10621.05</v>
      </c>
      <c r="P95" s="7">
        <f>Tabela1[[#This Row],[Valor Contábil Unitário]]*Tabela1[[#This Row],[Quantidade]]</f>
        <v>116831.54999999999</v>
      </c>
      <c r="Q95" s="7">
        <v>10621.050909090909</v>
      </c>
      <c r="R95" s="7">
        <f>Tabela1[[#This Row],[Valor de Reposição Unitário]]*Tabela1[[#This Row],[Quantidade]]</f>
        <v>116831.56</v>
      </c>
      <c r="S95" s="48">
        <f>IF(Tabela1[[#This Row],[Valor Contábil Total]]&gt;Tabela1[[#This Row],[Valor total de Reposição]],Tabela1[[#This Row],[Valor Contábil Total]],Tabela1[[#This Row],[Valor total de Reposição]])</f>
        <v>116831.56</v>
      </c>
      <c r="T95" s="7">
        <v>637.26305454545445</v>
      </c>
      <c r="U95" s="7">
        <f>Tabela1[[#This Row],[VMA - Unitário]]*Tabela1[[#This Row],[Quantidade]]</f>
        <v>7009.8935999999994</v>
      </c>
      <c r="V95" s="48">
        <f>INDEX(ResumoLotesSUPERBID[VMA Total do Lote],MATCH(Tabela1[[#This Row],[Lote]],ResumoLotesSUPERBID[LOTES],0))</f>
        <v>349148.19361582916</v>
      </c>
      <c r="W95" s="57">
        <f>Tabela1[[#This Row],[VMA - Total]]/Tabela1[[#This Row],[VMA total do Lote]]</f>
        <v>2.0077129792379928E-2</v>
      </c>
      <c r="X95" t="s">
        <v>392</v>
      </c>
      <c r="Y95" t="s">
        <v>393</v>
      </c>
      <c r="Z95" s="55" t="str">
        <f>Tabela1[[#This Row],[Material]]&amp;"-"&amp;Tabela1[[#This Row],[Centro
Origem]]&amp;"-"&amp;Tabela1[[#This Row],[Depósito]]&amp;"-"&amp;Tabela1[[#This Row],[Tipo de Avaliação]]&amp;"-"&amp;Tabela1[[#This Row],[Elemento PEP]]</f>
        <v>11820870-4419-JI02-IMOB/NAC-</v>
      </c>
      <c r="AA95" s="58" t="str">
        <f>INDEX(ResumoLotesSUPERBID[Sugestão],MATCH(Tabela1[[#This Row],[Lote]],ResumoLotesSUPERBID[LOTES],0))</f>
        <v>Para Leilão</v>
      </c>
      <c r="AB95" s="56">
        <f>INDEX(ResumoLotesSUPERBID[VMA / Comparação],MATCH(Tabela1[[#This Row],[Lote]],ResumoLotesSUPERBID[LOTES],0))</f>
        <v>5.999999928096364E-2</v>
      </c>
      <c r="AC95" s="59" t="str">
        <f>INDEX(ResumoLotesSUPERBID[Descrição],MATCH(Tabela1[[#This Row],[Lote]],ResumoLotesSUPERBID[LOTES],0))</f>
        <v>1% do Valor de Comparação do VMA</v>
      </c>
    </row>
    <row r="96" spans="1:29" x14ac:dyDescent="0.25">
      <c r="A96" s="20" t="s">
        <v>235</v>
      </c>
      <c r="B96" t="s">
        <v>47</v>
      </c>
      <c r="D96" s="16" t="s">
        <v>227</v>
      </c>
      <c r="E96" t="s">
        <v>49</v>
      </c>
      <c r="F96" s="22">
        <v>11832072</v>
      </c>
      <c r="G96" t="s">
        <v>234</v>
      </c>
      <c r="H96" s="6">
        <v>4419</v>
      </c>
      <c r="J96" s="6" t="s">
        <v>382</v>
      </c>
      <c r="K96" t="s">
        <v>385</v>
      </c>
      <c r="M96">
        <v>9</v>
      </c>
      <c r="N96" t="s">
        <v>391</v>
      </c>
      <c r="O96" s="7">
        <v>10208.69</v>
      </c>
      <c r="P96" s="7">
        <f>Tabela1[[#This Row],[Valor Contábil Unitário]]*Tabela1[[#This Row],[Quantidade]]</f>
        <v>91878.21</v>
      </c>
      <c r="Q96" s="7">
        <v>10208.692222222222</v>
      </c>
      <c r="R96" s="7">
        <f>Tabela1[[#This Row],[Valor de Reposição Unitário]]*Tabela1[[#This Row],[Quantidade]]</f>
        <v>91878.23</v>
      </c>
      <c r="S96" s="48">
        <f>IF(Tabela1[[#This Row],[Valor Contábil Total]]&gt;Tabela1[[#This Row],[Valor total de Reposição]],Tabela1[[#This Row],[Valor Contábil Total]],Tabela1[[#This Row],[Valor total de Reposição]])</f>
        <v>91878.23</v>
      </c>
      <c r="T96" s="7">
        <v>612.5215333333332</v>
      </c>
      <c r="U96" s="7">
        <f>Tabela1[[#This Row],[VMA - Unitário]]*Tabela1[[#This Row],[Quantidade]]</f>
        <v>5512.6937999999991</v>
      </c>
      <c r="V96" s="48">
        <f>INDEX(ResumoLotesSUPERBID[VMA Total do Lote],MATCH(Tabela1[[#This Row],[Lote]],ResumoLotesSUPERBID[LOTES],0))</f>
        <v>349148.19361582916</v>
      </c>
      <c r="W96" s="57">
        <f>Tabela1[[#This Row],[VMA - Total]]/Tabela1[[#This Row],[VMA total do Lote]]</f>
        <v>1.5788979868146376E-2</v>
      </c>
      <c r="X96" t="s">
        <v>392</v>
      </c>
      <c r="Y96" t="s">
        <v>393</v>
      </c>
      <c r="Z96" s="55" t="str">
        <f>Tabela1[[#This Row],[Material]]&amp;"-"&amp;Tabela1[[#This Row],[Centro
Origem]]&amp;"-"&amp;Tabela1[[#This Row],[Depósito]]&amp;"-"&amp;Tabela1[[#This Row],[Tipo de Avaliação]]&amp;"-"&amp;Tabela1[[#This Row],[Elemento PEP]]</f>
        <v>11832072-4419-JI02-IMOB/NAC-</v>
      </c>
      <c r="AA96" s="58" t="str">
        <f>INDEX(ResumoLotesSUPERBID[Sugestão],MATCH(Tabela1[[#This Row],[Lote]],ResumoLotesSUPERBID[LOTES],0))</f>
        <v>Para Leilão</v>
      </c>
      <c r="AB96" s="56">
        <f>INDEX(ResumoLotesSUPERBID[VMA / Comparação],MATCH(Tabela1[[#This Row],[Lote]],ResumoLotesSUPERBID[LOTES],0))</f>
        <v>5.999999928096364E-2</v>
      </c>
      <c r="AC96" s="59" t="str">
        <f>INDEX(ResumoLotesSUPERBID[Descrição],MATCH(Tabela1[[#This Row],[Lote]],ResumoLotesSUPERBID[LOTES],0))</f>
        <v>1% do Valor de Comparação do VMA</v>
      </c>
    </row>
    <row r="97" spans="1:29" x14ac:dyDescent="0.25">
      <c r="A97" s="20" t="s">
        <v>236</v>
      </c>
      <c r="B97" t="s">
        <v>47</v>
      </c>
      <c r="D97" s="16" t="s">
        <v>237</v>
      </c>
      <c r="E97" t="s">
        <v>49</v>
      </c>
      <c r="F97" s="22">
        <v>11189305</v>
      </c>
      <c r="G97" t="s">
        <v>238</v>
      </c>
      <c r="H97" s="6">
        <v>4419</v>
      </c>
      <c r="J97" s="6" t="s">
        <v>382</v>
      </c>
      <c r="K97" t="s">
        <v>385</v>
      </c>
      <c r="M97">
        <v>130</v>
      </c>
      <c r="N97" t="s">
        <v>391</v>
      </c>
      <c r="O97" s="7">
        <v>41776.93</v>
      </c>
      <c r="P97" s="7">
        <f>Tabela1[[#This Row],[Valor Contábil Unitário]]*Tabela1[[#This Row],[Quantidade]]</f>
        <v>5431000.9000000004</v>
      </c>
      <c r="Q97" s="7">
        <v>41776.932999999997</v>
      </c>
      <c r="R97" s="7">
        <f>Tabela1[[#This Row],[Valor de Reposição Unitário]]*Tabela1[[#This Row],[Quantidade]]</f>
        <v>5431001.29</v>
      </c>
      <c r="S97" s="48">
        <f>IF(Tabela1[[#This Row],[Valor Contábil Total]]&gt;Tabela1[[#This Row],[Valor total de Reposição]],Tabela1[[#This Row],[Valor Contábil Total]],Tabela1[[#This Row],[Valor total de Reposição]])</f>
        <v>5431001.29</v>
      </c>
      <c r="T97" s="7">
        <v>2506.61598</v>
      </c>
      <c r="U97" s="7">
        <f>Tabela1[[#This Row],[VMA - Unitário]]*Tabela1[[#This Row],[Quantidade]]</f>
        <v>325860.07740000001</v>
      </c>
      <c r="V97" s="48">
        <f>INDEX(ResumoLotesSUPERBID[VMA Total do Lote],MATCH(Tabela1[[#This Row],[Lote]],ResumoLotesSUPERBID[LOTES],0))</f>
        <v>1046468.5364399999</v>
      </c>
      <c r="W97" s="57">
        <f>Tabela1[[#This Row],[VMA - Total]]/Tabela1[[#This Row],[VMA total do Lote]]</f>
        <v>0.31139022918792114</v>
      </c>
      <c r="X97" t="s">
        <v>392</v>
      </c>
      <c r="Y97" t="s">
        <v>393</v>
      </c>
      <c r="Z97" s="55" t="str">
        <f>Tabela1[[#This Row],[Material]]&amp;"-"&amp;Tabela1[[#This Row],[Centro
Origem]]&amp;"-"&amp;Tabela1[[#This Row],[Depósito]]&amp;"-"&amp;Tabela1[[#This Row],[Tipo de Avaliação]]&amp;"-"&amp;Tabela1[[#This Row],[Elemento PEP]]</f>
        <v>11189305-4419-JI02-IMOB/NAC-</v>
      </c>
      <c r="AA97" s="58" t="str">
        <f>INDEX(ResumoLotesSUPERBID[Sugestão],MATCH(Tabela1[[#This Row],[Lote]],ResumoLotesSUPERBID[LOTES],0))</f>
        <v>Para Leilão</v>
      </c>
      <c r="AB97" s="56">
        <f>INDEX(ResumoLotesSUPERBID[VMA / Comparação],MATCH(Tabela1[[#This Row],[Lote]],ResumoLotesSUPERBID[LOTES],0))</f>
        <v>5.9999998844112425E-2</v>
      </c>
      <c r="AC97" s="59" t="str">
        <f>INDEX(ResumoLotesSUPERBID[Descrição],MATCH(Tabela1[[#This Row],[Lote]],ResumoLotesSUPERBID[LOTES],0))</f>
        <v>1% do Valor de Comparação do VMA</v>
      </c>
    </row>
    <row r="98" spans="1:29" x14ac:dyDescent="0.25">
      <c r="A98" s="20" t="s">
        <v>239</v>
      </c>
      <c r="B98" t="s">
        <v>47</v>
      </c>
      <c r="D98" s="16" t="s">
        <v>237</v>
      </c>
      <c r="E98" t="s">
        <v>49</v>
      </c>
      <c r="F98" s="22">
        <v>11189384</v>
      </c>
      <c r="G98" t="s">
        <v>240</v>
      </c>
      <c r="H98" s="6">
        <v>4419</v>
      </c>
      <c r="J98" s="6" t="s">
        <v>382</v>
      </c>
      <c r="K98" t="s">
        <v>385</v>
      </c>
      <c r="M98">
        <v>368</v>
      </c>
      <c r="N98" t="s">
        <v>391</v>
      </c>
      <c r="O98" s="7">
        <v>32107.83</v>
      </c>
      <c r="P98" s="7">
        <f>Tabela1[[#This Row],[Valor Contábil Unitário]]*Tabela1[[#This Row],[Quantidade]]</f>
        <v>11815681.440000001</v>
      </c>
      <c r="Q98" s="7">
        <v>32107.829086956521</v>
      </c>
      <c r="R98" s="7">
        <f>Tabela1[[#This Row],[Valor de Reposição Unitário]]*Tabela1[[#This Row],[Quantidade]]</f>
        <v>11815681.104</v>
      </c>
      <c r="S98" s="48">
        <f>IF(Tabela1[[#This Row],[Valor Contábil Total]]&gt;Tabela1[[#This Row],[Valor total de Reposição]],Tabela1[[#This Row],[Valor Contábil Total]],Tabela1[[#This Row],[Valor total de Reposição]])</f>
        <v>11815681.440000001</v>
      </c>
      <c r="T98" s="7">
        <v>1926.4697452173914</v>
      </c>
      <c r="U98" s="7">
        <f>Tabela1[[#This Row],[VMA - Unitário]]*Tabela1[[#This Row],[Quantidade]]</f>
        <v>708940.86624</v>
      </c>
      <c r="V98" s="48">
        <f>INDEX(ResumoLotesSUPERBID[VMA Total do Lote],MATCH(Tabela1[[#This Row],[Lote]],ResumoLotesSUPERBID[LOTES],0))</f>
        <v>1046468.5364399999</v>
      </c>
      <c r="W98" s="57">
        <f>Tabela1[[#This Row],[VMA - Total]]/Tabela1[[#This Row],[VMA total do Lote]]</f>
        <v>0.6774602785973467</v>
      </c>
      <c r="X98" t="s">
        <v>392</v>
      </c>
      <c r="Y98" t="s">
        <v>393</v>
      </c>
      <c r="Z98" s="55" t="str">
        <f>Tabela1[[#This Row],[Material]]&amp;"-"&amp;Tabela1[[#This Row],[Centro
Origem]]&amp;"-"&amp;Tabela1[[#This Row],[Depósito]]&amp;"-"&amp;Tabela1[[#This Row],[Tipo de Avaliação]]&amp;"-"&amp;Tabela1[[#This Row],[Elemento PEP]]</f>
        <v>11189384-4419-JI02-IMOB/NAC-</v>
      </c>
      <c r="AA98" s="58" t="str">
        <f>INDEX(ResumoLotesSUPERBID[Sugestão],MATCH(Tabela1[[#This Row],[Lote]],ResumoLotesSUPERBID[LOTES],0))</f>
        <v>Para Leilão</v>
      </c>
      <c r="AB98" s="56">
        <f>INDEX(ResumoLotesSUPERBID[VMA / Comparação],MATCH(Tabela1[[#This Row],[Lote]],ResumoLotesSUPERBID[LOTES],0))</f>
        <v>5.9999998844112425E-2</v>
      </c>
      <c r="AC98" s="59" t="str">
        <f>INDEX(ResumoLotesSUPERBID[Descrição],MATCH(Tabela1[[#This Row],[Lote]],ResumoLotesSUPERBID[LOTES],0))</f>
        <v>1% do Valor de Comparação do VMA</v>
      </c>
    </row>
    <row r="99" spans="1:29" x14ac:dyDescent="0.25">
      <c r="A99" s="20" t="s">
        <v>241</v>
      </c>
      <c r="B99" t="s">
        <v>47</v>
      </c>
      <c r="D99" s="16" t="s">
        <v>237</v>
      </c>
      <c r="E99" t="s">
        <v>49</v>
      </c>
      <c r="F99" s="22">
        <v>11508185</v>
      </c>
      <c r="G99" t="s">
        <v>238</v>
      </c>
      <c r="H99" s="6">
        <v>4419</v>
      </c>
      <c r="J99" s="6" t="s">
        <v>382</v>
      </c>
      <c r="K99" t="s">
        <v>385</v>
      </c>
      <c r="M99">
        <v>3</v>
      </c>
      <c r="N99" t="s">
        <v>391</v>
      </c>
      <c r="O99" s="7">
        <v>53408.26</v>
      </c>
      <c r="P99" s="7">
        <f>Tabela1[[#This Row],[Valor Contábil Unitário]]*Tabela1[[#This Row],[Quantidade]]</f>
        <v>160224.78</v>
      </c>
      <c r="Q99" s="7">
        <v>53408.263333333336</v>
      </c>
      <c r="R99" s="7">
        <f>Tabela1[[#This Row],[Valor de Reposição Unitário]]*Tabela1[[#This Row],[Quantidade]]</f>
        <v>160224.79</v>
      </c>
      <c r="S99" s="48">
        <f>IF(Tabela1[[#This Row],[Valor Contábil Total]]&gt;Tabela1[[#This Row],[Valor total de Reposição]],Tabela1[[#This Row],[Valor Contábil Total]],Tabela1[[#This Row],[Valor total de Reposição]])</f>
        <v>160224.79</v>
      </c>
      <c r="T99" s="7">
        <v>3204.4958000000001</v>
      </c>
      <c r="U99" s="7">
        <f>Tabela1[[#This Row],[VMA - Unitário]]*Tabela1[[#This Row],[Quantidade]]</f>
        <v>9613.4874</v>
      </c>
      <c r="V99" s="48">
        <f>INDEX(ResumoLotesSUPERBID[VMA Total do Lote],MATCH(Tabela1[[#This Row],[Lote]],ResumoLotesSUPERBID[LOTES],0))</f>
        <v>1046468.5364399999</v>
      </c>
      <c r="W99" s="57">
        <f>Tabela1[[#This Row],[VMA - Total]]/Tabela1[[#This Row],[VMA total do Lote]]</f>
        <v>9.1865995634271957E-3</v>
      </c>
      <c r="X99" t="s">
        <v>392</v>
      </c>
      <c r="Y99" t="s">
        <v>393</v>
      </c>
      <c r="Z99" s="55" t="str">
        <f>Tabela1[[#This Row],[Material]]&amp;"-"&amp;Tabela1[[#This Row],[Centro
Origem]]&amp;"-"&amp;Tabela1[[#This Row],[Depósito]]&amp;"-"&amp;Tabela1[[#This Row],[Tipo de Avaliação]]&amp;"-"&amp;Tabela1[[#This Row],[Elemento PEP]]</f>
        <v>11508185-4419-JI02-IMOB/NAC-</v>
      </c>
      <c r="AA99" s="58" t="str">
        <f>INDEX(ResumoLotesSUPERBID[Sugestão],MATCH(Tabela1[[#This Row],[Lote]],ResumoLotesSUPERBID[LOTES],0))</f>
        <v>Para Leilão</v>
      </c>
      <c r="AB99" s="56">
        <f>INDEX(ResumoLotesSUPERBID[VMA / Comparação],MATCH(Tabela1[[#This Row],[Lote]],ResumoLotesSUPERBID[LOTES],0))</f>
        <v>5.9999998844112425E-2</v>
      </c>
      <c r="AC99" s="59" t="str">
        <f>INDEX(ResumoLotesSUPERBID[Descrição],MATCH(Tabela1[[#This Row],[Lote]],ResumoLotesSUPERBID[LOTES],0))</f>
        <v>1% do Valor de Comparação do VMA</v>
      </c>
    </row>
    <row r="100" spans="1:29" x14ac:dyDescent="0.25">
      <c r="A100" s="20" t="s">
        <v>242</v>
      </c>
      <c r="B100" t="s">
        <v>47</v>
      </c>
      <c r="D100" s="16" t="s">
        <v>237</v>
      </c>
      <c r="E100" t="s">
        <v>49</v>
      </c>
      <c r="F100" s="22">
        <v>11589348</v>
      </c>
      <c r="G100" t="s">
        <v>240</v>
      </c>
      <c r="H100" s="6">
        <v>4419</v>
      </c>
      <c r="J100" s="6" t="s">
        <v>382</v>
      </c>
      <c r="K100" t="s">
        <v>385</v>
      </c>
      <c r="M100">
        <v>1</v>
      </c>
      <c r="N100" t="s">
        <v>391</v>
      </c>
      <c r="O100" s="7">
        <v>34235.089999999997</v>
      </c>
      <c r="P100" s="7">
        <f>Tabela1[[#This Row],[Valor Contábil Unitário]]*Tabela1[[#This Row],[Quantidade]]</f>
        <v>34235.089999999997</v>
      </c>
      <c r="Q100" s="7">
        <v>34235.089999999997</v>
      </c>
      <c r="R100" s="7">
        <f>Tabela1[[#This Row],[Valor de Reposição Unitário]]*Tabela1[[#This Row],[Quantidade]]</f>
        <v>34235.089999999997</v>
      </c>
      <c r="S100" s="48">
        <f>IF(Tabela1[[#This Row],[Valor Contábil Total]]&gt;Tabela1[[#This Row],[Valor total de Reposição]],Tabela1[[#This Row],[Valor Contábil Total]],Tabela1[[#This Row],[Valor total de Reposição]])</f>
        <v>34235.089999999997</v>
      </c>
      <c r="T100" s="7">
        <v>2054.1053999999999</v>
      </c>
      <c r="U100" s="7">
        <f>Tabela1[[#This Row],[VMA - Unitário]]*Tabela1[[#This Row],[Quantidade]]</f>
        <v>2054.1053999999999</v>
      </c>
      <c r="V100" s="48">
        <f>INDEX(ResumoLotesSUPERBID[VMA Total do Lote],MATCH(Tabela1[[#This Row],[Lote]],ResumoLotesSUPERBID[LOTES],0))</f>
        <v>1046468.5364399999</v>
      </c>
      <c r="W100" s="57">
        <f>Tabela1[[#This Row],[VMA - Total]]/Tabela1[[#This Row],[VMA total do Lote]]</f>
        <v>1.9628926513050242E-3</v>
      </c>
      <c r="X100" t="s">
        <v>392</v>
      </c>
      <c r="Y100" t="s">
        <v>393</v>
      </c>
      <c r="Z100" s="55" t="str">
        <f>Tabela1[[#This Row],[Material]]&amp;"-"&amp;Tabela1[[#This Row],[Centro
Origem]]&amp;"-"&amp;Tabela1[[#This Row],[Depósito]]&amp;"-"&amp;Tabela1[[#This Row],[Tipo de Avaliação]]&amp;"-"&amp;Tabela1[[#This Row],[Elemento PEP]]</f>
        <v>11589348-4419-JI02-IMOB/NAC-</v>
      </c>
      <c r="AA100" s="58" t="str">
        <f>INDEX(ResumoLotesSUPERBID[Sugestão],MATCH(Tabela1[[#This Row],[Lote]],ResumoLotesSUPERBID[LOTES],0))</f>
        <v>Para Leilão</v>
      </c>
      <c r="AB100" s="56">
        <f>INDEX(ResumoLotesSUPERBID[VMA / Comparação],MATCH(Tabela1[[#This Row],[Lote]],ResumoLotesSUPERBID[LOTES],0))</f>
        <v>5.9999998844112425E-2</v>
      </c>
      <c r="AC100" s="59" t="str">
        <f>INDEX(ResumoLotesSUPERBID[Descrição],MATCH(Tabela1[[#This Row],[Lote]],ResumoLotesSUPERBID[LOTES],0))</f>
        <v>1% do Valor de Comparação do VMA</v>
      </c>
    </row>
    <row r="101" spans="1:29" x14ac:dyDescent="0.25">
      <c r="A101" s="20" t="s">
        <v>243</v>
      </c>
      <c r="B101" t="s">
        <v>47</v>
      </c>
      <c r="D101" s="16" t="s">
        <v>244</v>
      </c>
      <c r="E101" t="s">
        <v>61</v>
      </c>
      <c r="F101" s="22">
        <v>11471382</v>
      </c>
      <c r="G101" t="s">
        <v>245</v>
      </c>
      <c r="H101" s="6">
        <v>4419</v>
      </c>
      <c r="J101" s="6" t="s">
        <v>386</v>
      </c>
      <c r="K101" t="s">
        <v>384</v>
      </c>
      <c r="M101">
        <v>55</v>
      </c>
      <c r="N101" t="s">
        <v>391</v>
      </c>
      <c r="O101" s="7">
        <v>6357.23</v>
      </c>
      <c r="P101" s="7">
        <f>Tabela1[[#This Row],[Valor Contábil Unitário]]*Tabela1[[#This Row],[Quantidade]]</f>
        <v>349647.64999999997</v>
      </c>
      <c r="Q101" s="7">
        <v>6357.2276363636365</v>
      </c>
      <c r="R101" s="7">
        <f>Tabela1[[#This Row],[Valor de Reposição Unitário]]*Tabela1[[#This Row],[Quantidade]]</f>
        <v>349647.52</v>
      </c>
      <c r="S101" s="48">
        <f>IF(Tabela1[[#This Row],[Valor Contábil Total]]&gt;Tabela1[[#This Row],[Valor total de Reposição]],Tabela1[[#This Row],[Valor Contábil Total]],Tabela1[[#This Row],[Valor total de Reposição]])</f>
        <v>349647.64999999997</v>
      </c>
      <c r="T101" s="7">
        <v>381.4336581818182</v>
      </c>
      <c r="U101" s="7">
        <f>Tabela1[[#This Row],[VMA - Unitário]]*Tabela1[[#This Row],[Quantidade]]</f>
        <v>20978.851200000001</v>
      </c>
      <c r="V101" s="48">
        <f>INDEX(ResumoLotesSUPERBID[VMA Total do Lote],MATCH(Tabela1[[#This Row],[Lote]],ResumoLotesSUPERBID[LOTES],0))</f>
        <v>20978.851200000001</v>
      </c>
      <c r="W101" s="57">
        <f>Tabela1[[#This Row],[VMA - Total]]/Tabela1[[#This Row],[VMA total do Lote]]</f>
        <v>1</v>
      </c>
      <c r="X101" t="s">
        <v>392</v>
      </c>
      <c r="Y101" t="s">
        <v>393</v>
      </c>
      <c r="Z101" s="55" t="str">
        <f>Tabela1[[#This Row],[Material]]&amp;"-"&amp;Tabela1[[#This Row],[Centro
Origem]]&amp;"-"&amp;Tabela1[[#This Row],[Depósito]]&amp;"-"&amp;Tabela1[[#This Row],[Tipo de Avaliação]]&amp;"-"&amp;Tabela1[[#This Row],[Elemento PEP]]</f>
        <v>11471382-4419-JI01-IMOB/IAMN-</v>
      </c>
      <c r="AA101" s="58" t="str">
        <f>INDEX(ResumoLotesSUPERBID[Sugestão],MATCH(Tabela1[[#This Row],[Lote]],ResumoLotesSUPERBID[LOTES],0))</f>
        <v>Para Leilão</v>
      </c>
      <c r="AB101" s="56">
        <f>INDEX(ResumoLotesSUPERBID[VMA / Comparação],MATCH(Tabela1[[#This Row],[Lote]],ResumoLotesSUPERBID[LOTES],0))</f>
        <v>5.9999977691827765E-2</v>
      </c>
      <c r="AC101" s="59" t="str">
        <f>INDEX(ResumoLotesSUPERBID[Descrição],MATCH(Tabela1[[#This Row],[Lote]],ResumoLotesSUPERBID[LOTES],0))</f>
        <v>1% do Valor de Comparação do VMA</v>
      </c>
    </row>
    <row r="102" spans="1:29" x14ac:dyDescent="0.25">
      <c r="A102" s="20" t="s">
        <v>246</v>
      </c>
      <c r="B102" t="s">
        <v>47</v>
      </c>
      <c r="D102" s="16" t="s">
        <v>247</v>
      </c>
      <c r="E102" t="s">
        <v>61</v>
      </c>
      <c r="F102" s="22">
        <v>11165648</v>
      </c>
      <c r="G102" t="s">
        <v>248</v>
      </c>
      <c r="H102" s="6">
        <v>4419</v>
      </c>
      <c r="J102" s="6" t="s">
        <v>386</v>
      </c>
      <c r="K102" t="s">
        <v>385</v>
      </c>
      <c r="M102">
        <v>5</v>
      </c>
      <c r="N102" t="s">
        <v>391</v>
      </c>
      <c r="O102" s="7">
        <v>15590.52</v>
      </c>
      <c r="P102" s="7">
        <f>Tabela1[[#This Row],[Valor Contábil Unitário]]*Tabela1[[#This Row],[Quantidade]]</f>
        <v>77952.600000000006</v>
      </c>
      <c r="Q102" s="7">
        <v>15590.52</v>
      </c>
      <c r="R102" s="7">
        <f>Tabela1[[#This Row],[Valor de Reposição Unitário]]*Tabela1[[#This Row],[Quantidade]]</f>
        <v>77952.600000000006</v>
      </c>
      <c r="S102" s="48">
        <f>IF(Tabela1[[#This Row],[Valor Contábil Total]]&gt;Tabela1[[#This Row],[Valor total de Reposição]],Tabela1[[#This Row],[Valor Contábil Total]],Tabela1[[#This Row],[Valor total de Reposição]])</f>
        <v>77952.600000000006</v>
      </c>
      <c r="T102" s="7">
        <v>935.43119999999999</v>
      </c>
      <c r="U102" s="7">
        <f>Tabela1[[#This Row],[VMA - Unitário]]*Tabela1[[#This Row],[Quantidade]]</f>
        <v>4677.1559999999999</v>
      </c>
      <c r="V102" s="48">
        <f>INDEX(ResumoLotesSUPERBID[VMA Total do Lote],MATCH(Tabela1[[#This Row],[Lote]],ResumoLotesSUPERBID[LOTES],0))</f>
        <v>10767.272781818183</v>
      </c>
      <c r="W102" s="57">
        <f>Tabela1[[#This Row],[VMA - Total]]/Tabela1[[#This Row],[VMA total do Lote]]</f>
        <v>0.43438631998791122</v>
      </c>
      <c r="X102" t="s">
        <v>392</v>
      </c>
      <c r="Y102" t="s">
        <v>393</v>
      </c>
      <c r="Z102" s="55" t="str">
        <f>Tabela1[[#This Row],[Material]]&amp;"-"&amp;Tabela1[[#This Row],[Centro
Origem]]&amp;"-"&amp;Tabela1[[#This Row],[Depósito]]&amp;"-"&amp;Tabela1[[#This Row],[Tipo de Avaliação]]&amp;"-"&amp;Tabela1[[#This Row],[Elemento PEP]]</f>
        <v>11165648-4419-JI01-IMOB/NAC-</v>
      </c>
      <c r="AA102" s="58" t="str">
        <f>INDEX(ResumoLotesSUPERBID[Sugestão],MATCH(Tabela1[[#This Row],[Lote]],ResumoLotesSUPERBID[LOTES],0))</f>
        <v>Para Leilão</v>
      </c>
      <c r="AB102" s="56">
        <f>INDEX(ResumoLotesSUPERBID[VMA / Comparação],MATCH(Tabela1[[#This Row],[Lote]],ResumoLotesSUPERBID[LOTES],0))</f>
        <v>5.9999995440729863E-2</v>
      </c>
      <c r="AC102" s="59" t="str">
        <f>INDEX(ResumoLotesSUPERBID[Descrição],MATCH(Tabela1[[#This Row],[Lote]],ResumoLotesSUPERBID[LOTES],0))</f>
        <v>1% do Valor de Comparação do VMA</v>
      </c>
    </row>
    <row r="103" spans="1:29" x14ac:dyDescent="0.25">
      <c r="A103" s="20" t="s">
        <v>249</v>
      </c>
      <c r="B103" t="s">
        <v>47</v>
      </c>
      <c r="D103" s="16" t="s">
        <v>247</v>
      </c>
      <c r="E103" t="s">
        <v>61</v>
      </c>
      <c r="F103" s="22">
        <v>11271476</v>
      </c>
      <c r="G103" t="s">
        <v>250</v>
      </c>
      <c r="H103" s="6">
        <v>4419</v>
      </c>
      <c r="J103" s="6" t="s">
        <v>386</v>
      </c>
      <c r="K103" t="s">
        <v>385</v>
      </c>
      <c r="M103">
        <v>4</v>
      </c>
      <c r="N103" t="s">
        <v>391</v>
      </c>
      <c r="O103" s="7">
        <v>21153.25</v>
      </c>
      <c r="P103" s="7">
        <f>Tabela1[[#This Row],[Valor Contábil Unitário]]*Tabela1[[#This Row],[Quantidade]]</f>
        <v>84613</v>
      </c>
      <c r="Q103" s="7">
        <v>21153.247500000001</v>
      </c>
      <c r="R103" s="7">
        <f>Tabela1[[#This Row],[Valor de Reposição Unitário]]*Tabela1[[#This Row],[Quantidade]]</f>
        <v>84612.99</v>
      </c>
      <c r="S103" s="48">
        <f>IF(Tabela1[[#This Row],[Valor Contábil Total]]&gt;Tabela1[[#This Row],[Valor total de Reposição]],Tabela1[[#This Row],[Valor Contábil Total]],Tabela1[[#This Row],[Valor total de Reposição]])</f>
        <v>84613</v>
      </c>
      <c r="T103" s="7">
        <v>1269.1948500000001</v>
      </c>
      <c r="U103" s="7">
        <f>Tabela1[[#This Row],[VMA - Unitário]]*Tabela1[[#This Row],[Quantidade]]</f>
        <v>5076.7794000000004</v>
      </c>
      <c r="V103" s="48">
        <f>INDEX(ResumoLotesSUPERBID[VMA Total do Lote],MATCH(Tabela1[[#This Row],[Lote]],ResumoLotesSUPERBID[LOTES],0))</f>
        <v>10767.272781818183</v>
      </c>
      <c r="W103" s="57">
        <f>Tabela1[[#This Row],[VMA - Total]]/Tabela1[[#This Row],[VMA total do Lote]]</f>
        <v>0.47150095505825251</v>
      </c>
      <c r="X103" t="s">
        <v>392</v>
      </c>
      <c r="Y103" t="s">
        <v>393</v>
      </c>
      <c r="Z103" s="55" t="str">
        <f>Tabela1[[#This Row],[Material]]&amp;"-"&amp;Tabela1[[#This Row],[Centro
Origem]]&amp;"-"&amp;Tabela1[[#This Row],[Depósito]]&amp;"-"&amp;Tabela1[[#This Row],[Tipo de Avaliação]]&amp;"-"&amp;Tabela1[[#This Row],[Elemento PEP]]</f>
        <v>11271476-4419-JI01-IMOB/NAC-</v>
      </c>
      <c r="AA103" s="58" t="str">
        <f>INDEX(ResumoLotesSUPERBID[Sugestão],MATCH(Tabela1[[#This Row],[Lote]],ResumoLotesSUPERBID[LOTES],0))</f>
        <v>Para Leilão</v>
      </c>
      <c r="AB103" s="56">
        <f>INDEX(ResumoLotesSUPERBID[VMA / Comparação],MATCH(Tabela1[[#This Row],[Lote]],ResumoLotesSUPERBID[LOTES],0))</f>
        <v>5.9999995440729863E-2</v>
      </c>
      <c r="AC103" s="59" t="str">
        <f>INDEX(ResumoLotesSUPERBID[Descrição],MATCH(Tabela1[[#This Row],[Lote]],ResumoLotesSUPERBID[LOTES],0))</f>
        <v>1% do Valor de Comparação do VMA</v>
      </c>
    </row>
    <row r="104" spans="1:29" x14ac:dyDescent="0.25">
      <c r="A104" s="20" t="s">
        <v>251</v>
      </c>
      <c r="B104" t="s">
        <v>47</v>
      </c>
      <c r="D104" s="16" t="s">
        <v>247</v>
      </c>
      <c r="E104" t="s">
        <v>61</v>
      </c>
      <c r="F104" s="22">
        <v>11274578</v>
      </c>
      <c r="G104" t="s">
        <v>252</v>
      </c>
      <c r="H104" s="6">
        <v>4419</v>
      </c>
      <c r="J104" s="6" t="s">
        <v>386</v>
      </c>
      <c r="K104" t="s">
        <v>385</v>
      </c>
      <c r="M104">
        <v>1</v>
      </c>
      <c r="N104" t="s">
        <v>391</v>
      </c>
      <c r="O104" s="7">
        <v>16888.96</v>
      </c>
      <c r="P104" s="7">
        <f>Tabela1[[#This Row],[Valor Contábil Unitário]]*Tabela1[[#This Row],[Quantidade]]</f>
        <v>16888.96</v>
      </c>
      <c r="Q104" s="7">
        <v>16888.956363636364</v>
      </c>
      <c r="R104" s="7">
        <f>Tabela1[[#This Row],[Valor de Reposição Unitário]]*Tabela1[[#This Row],[Quantidade]]</f>
        <v>16888.956363636364</v>
      </c>
      <c r="S104" s="48">
        <f>IF(Tabela1[[#This Row],[Valor Contábil Total]]&gt;Tabela1[[#This Row],[Valor total de Reposição]],Tabela1[[#This Row],[Valor Contábil Total]],Tabela1[[#This Row],[Valor total de Reposição]])</f>
        <v>16888.96</v>
      </c>
      <c r="T104" s="7">
        <v>1013.3373818181818</v>
      </c>
      <c r="U104" s="7">
        <f>Tabela1[[#This Row],[VMA - Unitário]]*Tabela1[[#This Row],[Quantidade]]</f>
        <v>1013.3373818181818</v>
      </c>
      <c r="V104" s="48">
        <f>INDEX(ResumoLotesSUPERBID[VMA Total do Lote],MATCH(Tabela1[[#This Row],[Lote]],ResumoLotesSUPERBID[LOTES],0))</f>
        <v>10767.272781818183</v>
      </c>
      <c r="W104" s="57">
        <f>Tabela1[[#This Row],[VMA - Total]]/Tabela1[[#This Row],[VMA total do Lote]]</f>
        <v>9.4112724953836241E-2</v>
      </c>
      <c r="X104" t="s">
        <v>392</v>
      </c>
      <c r="Y104" t="s">
        <v>393</v>
      </c>
      <c r="Z104" s="55" t="str">
        <f>Tabela1[[#This Row],[Material]]&amp;"-"&amp;Tabela1[[#This Row],[Centro
Origem]]&amp;"-"&amp;Tabela1[[#This Row],[Depósito]]&amp;"-"&amp;Tabela1[[#This Row],[Tipo de Avaliação]]&amp;"-"&amp;Tabela1[[#This Row],[Elemento PEP]]</f>
        <v>11274578-4419-JI01-IMOB/NAC-</v>
      </c>
      <c r="AA104" s="58" t="str">
        <f>INDEX(ResumoLotesSUPERBID[Sugestão],MATCH(Tabela1[[#This Row],[Lote]],ResumoLotesSUPERBID[LOTES],0))</f>
        <v>Para Leilão</v>
      </c>
      <c r="AB104" s="56">
        <f>INDEX(ResumoLotesSUPERBID[VMA / Comparação],MATCH(Tabela1[[#This Row],[Lote]],ResumoLotesSUPERBID[LOTES],0))</f>
        <v>5.9999995440729863E-2</v>
      </c>
      <c r="AC104" s="59" t="str">
        <f>INDEX(ResumoLotesSUPERBID[Descrição],MATCH(Tabela1[[#This Row],[Lote]],ResumoLotesSUPERBID[LOTES],0))</f>
        <v>1% do Valor de Comparação do VMA</v>
      </c>
    </row>
    <row r="105" spans="1:29" x14ac:dyDescent="0.25">
      <c r="A105" s="20" t="s">
        <v>253</v>
      </c>
      <c r="B105" t="s">
        <v>47</v>
      </c>
      <c r="D105" s="16" t="s">
        <v>254</v>
      </c>
      <c r="E105" t="s">
        <v>61</v>
      </c>
      <c r="F105" s="22">
        <v>11011981</v>
      </c>
      <c r="G105" t="s">
        <v>255</v>
      </c>
      <c r="H105" s="6">
        <v>4419</v>
      </c>
      <c r="J105" s="6" t="s">
        <v>386</v>
      </c>
      <c r="K105" t="s">
        <v>385</v>
      </c>
      <c r="M105">
        <v>1</v>
      </c>
      <c r="N105" t="s">
        <v>391</v>
      </c>
      <c r="O105" s="7">
        <v>6971.47</v>
      </c>
      <c r="P105" s="7">
        <f>Tabela1[[#This Row],[Valor Contábil Unitário]]*Tabela1[[#This Row],[Quantidade]]</f>
        <v>6971.47</v>
      </c>
      <c r="Q105" s="7">
        <v>6971.47</v>
      </c>
      <c r="R105" s="7">
        <f>Tabela1[[#This Row],[Valor de Reposição Unitário]]*Tabela1[[#This Row],[Quantidade]]</f>
        <v>6971.47</v>
      </c>
      <c r="S105" s="48">
        <f>IF(Tabela1[[#This Row],[Valor Contábil Total]]&gt;Tabela1[[#This Row],[Valor total de Reposição]],Tabela1[[#This Row],[Valor Contábil Total]],Tabela1[[#This Row],[Valor total de Reposição]])</f>
        <v>6971.47</v>
      </c>
      <c r="T105" s="7">
        <v>1882.2969000000003</v>
      </c>
      <c r="U105" s="7">
        <f>Tabela1[[#This Row],[VMA - Unitário]]*Tabela1[[#This Row],[Quantidade]]</f>
        <v>1882.2969000000003</v>
      </c>
      <c r="V105" s="48">
        <f>INDEX(ResumoLotesSUPERBID[VMA Total do Lote],MATCH(Tabela1[[#This Row],[Lote]],ResumoLotesSUPERBID[LOTES],0))</f>
        <v>188702.06634000002</v>
      </c>
      <c r="W105" s="57">
        <f>Tabela1[[#This Row],[VMA - Total]]/Tabela1[[#This Row],[VMA total do Lote]]</f>
        <v>9.9749670817515651E-3</v>
      </c>
      <c r="X105" t="s">
        <v>392</v>
      </c>
      <c r="Y105" t="s">
        <v>393</v>
      </c>
      <c r="Z105" s="55" t="str">
        <f>Tabela1[[#This Row],[Material]]&amp;"-"&amp;Tabela1[[#This Row],[Centro
Origem]]&amp;"-"&amp;Tabela1[[#This Row],[Depósito]]&amp;"-"&amp;Tabela1[[#This Row],[Tipo de Avaliação]]&amp;"-"&amp;Tabela1[[#This Row],[Elemento PEP]]</f>
        <v>11011981-4419-JI01-IMOB/NAC-</v>
      </c>
      <c r="AA105" s="58" t="str">
        <f>INDEX(ResumoLotesSUPERBID[Sugestão],MATCH(Tabela1[[#This Row],[Lote]],ResumoLotesSUPERBID[LOTES],0))</f>
        <v>Para Leilão</v>
      </c>
      <c r="AB105" s="56">
        <f>INDEX(ResumoLotesSUPERBID[VMA / Comparação],MATCH(Tabela1[[#This Row],[Lote]],ResumoLotesSUPERBID[LOTES],0))</f>
        <v>0.26620207930466694</v>
      </c>
      <c r="AC105" s="59" t="str">
        <f>INDEX(ResumoLotesSUPERBID[Descrição],MATCH(Tabela1[[#This Row],[Lote]],ResumoLotesSUPERBID[LOTES],0))</f>
        <v>1% do Valor de Comparação do VMA</v>
      </c>
    </row>
    <row r="106" spans="1:29" x14ac:dyDescent="0.25">
      <c r="A106" s="20" t="s">
        <v>256</v>
      </c>
      <c r="B106" t="s">
        <v>47</v>
      </c>
      <c r="D106" s="16" t="s">
        <v>254</v>
      </c>
      <c r="E106" t="s">
        <v>61</v>
      </c>
      <c r="F106" s="22">
        <v>11011984</v>
      </c>
      <c r="G106" t="s">
        <v>257</v>
      </c>
      <c r="H106" s="6">
        <v>4419</v>
      </c>
      <c r="J106" s="6" t="s">
        <v>386</v>
      </c>
      <c r="K106" t="s">
        <v>385</v>
      </c>
      <c r="M106">
        <v>1</v>
      </c>
      <c r="N106" t="s">
        <v>391</v>
      </c>
      <c r="O106" s="7">
        <v>4356.92</v>
      </c>
      <c r="P106" s="7">
        <f>Tabela1[[#This Row],[Valor Contábil Unitário]]*Tabela1[[#This Row],[Quantidade]]</f>
        <v>4356.92</v>
      </c>
      <c r="Q106" s="7">
        <v>4356.92</v>
      </c>
      <c r="R106" s="7">
        <f>Tabela1[[#This Row],[Valor de Reposição Unitário]]*Tabela1[[#This Row],[Quantidade]]</f>
        <v>4356.92</v>
      </c>
      <c r="S106" s="48">
        <f>IF(Tabela1[[#This Row],[Valor Contábil Total]]&gt;Tabela1[[#This Row],[Valor total de Reposição]],Tabela1[[#This Row],[Valor Contábil Total]],Tabela1[[#This Row],[Valor total de Reposição]])</f>
        <v>4356.92</v>
      </c>
      <c r="T106" s="7">
        <v>1176.3684000000001</v>
      </c>
      <c r="U106" s="7">
        <f>Tabela1[[#This Row],[VMA - Unitário]]*Tabela1[[#This Row],[Quantidade]]</f>
        <v>1176.3684000000001</v>
      </c>
      <c r="V106" s="48">
        <f>INDEX(ResumoLotesSUPERBID[VMA Total do Lote],MATCH(Tabela1[[#This Row],[Lote]],ResumoLotesSUPERBID[LOTES],0))</f>
        <v>188702.06634000002</v>
      </c>
      <c r="W106" s="57">
        <f>Tabela1[[#This Row],[VMA - Total]]/Tabela1[[#This Row],[VMA total do Lote]]</f>
        <v>6.2339985078936041E-3</v>
      </c>
      <c r="X106" t="s">
        <v>392</v>
      </c>
      <c r="Y106" t="s">
        <v>393</v>
      </c>
      <c r="Z106" s="55" t="str">
        <f>Tabela1[[#This Row],[Material]]&amp;"-"&amp;Tabela1[[#This Row],[Centro
Origem]]&amp;"-"&amp;Tabela1[[#This Row],[Depósito]]&amp;"-"&amp;Tabela1[[#This Row],[Tipo de Avaliação]]&amp;"-"&amp;Tabela1[[#This Row],[Elemento PEP]]</f>
        <v>11011984-4419-JI01-IMOB/NAC-</v>
      </c>
      <c r="AA106" s="58" t="str">
        <f>INDEX(ResumoLotesSUPERBID[Sugestão],MATCH(Tabela1[[#This Row],[Lote]],ResumoLotesSUPERBID[LOTES],0))</f>
        <v>Para Leilão</v>
      </c>
      <c r="AB106" s="56">
        <f>INDEX(ResumoLotesSUPERBID[VMA / Comparação],MATCH(Tabela1[[#This Row],[Lote]],ResumoLotesSUPERBID[LOTES],0))</f>
        <v>0.26620207930466694</v>
      </c>
      <c r="AC106" s="59" t="str">
        <f>INDEX(ResumoLotesSUPERBID[Descrição],MATCH(Tabela1[[#This Row],[Lote]],ResumoLotesSUPERBID[LOTES],0))</f>
        <v>1% do Valor de Comparação do VMA</v>
      </c>
    </row>
    <row r="107" spans="1:29" x14ac:dyDescent="0.25">
      <c r="A107" s="20" t="s">
        <v>258</v>
      </c>
      <c r="B107" t="s">
        <v>47</v>
      </c>
      <c r="D107" s="16" t="s">
        <v>254</v>
      </c>
      <c r="E107" t="s">
        <v>61</v>
      </c>
      <c r="F107" s="22">
        <v>11106480</v>
      </c>
      <c r="G107" t="s">
        <v>259</v>
      </c>
      <c r="H107" s="6">
        <v>4419</v>
      </c>
      <c r="J107" s="6" t="s">
        <v>386</v>
      </c>
      <c r="K107" t="s">
        <v>385</v>
      </c>
      <c r="M107">
        <v>6</v>
      </c>
      <c r="N107" t="s">
        <v>391</v>
      </c>
      <c r="O107" s="7">
        <v>14768.17</v>
      </c>
      <c r="P107" s="7">
        <f>Tabela1[[#This Row],[Valor Contábil Unitário]]*Tabela1[[#This Row],[Quantidade]]</f>
        <v>88609.02</v>
      </c>
      <c r="Q107" s="7">
        <v>14768.165000000001</v>
      </c>
      <c r="R107" s="7">
        <f>Tabela1[[#This Row],[Valor de Reposição Unitário]]*Tabela1[[#This Row],[Quantidade]]</f>
        <v>88608.99</v>
      </c>
      <c r="S107" s="48">
        <f>IF(Tabela1[[#This Row],[Valor Contábil Total]]&gt;Tabela1[[#This Row],[Valor total de Reposição]],Tabela1[[#This Row],[Valor Contábil Total]],Tabela1[[#This Row],[Valor total de Reposição]])</f>
        <v>88609.02</v>
      </c>
      <c r="T107" s="7">
        <v>3987.4045500000007</v>
      </c>
      <c r="U107" s="7">
        <f>Tabela1[[#This Row],[VMA - Unitário]]*Tabela1[[#This Row],[Quantidade]]</f>
        <v>23924.427300000003</v>
      </c>
      <c r="V107" s="48">
        <f>INDEX(ResumoLotesSUPERBID[VMA Total do Lote],MATCH(Tabela1[[#This Row],[Lote]],ResumoLotesSUPERBID[LOTES],0))</f>
        <v>188702.06634000002</v>
      </c>
      <c r="W107" s="57">
        <f>Tabela1[[#This Row],[VMA - Total]]/Tabela1[[#This Row],[VMA total do Lote]]</f>
        <v>0.12678412994637481</v>
      </c>
      <c r="X107" t="s">
        <v>392</v>
      </c>
      <c r="Y107" t="s">
        <v>393</v>
      </c>
      <c r="Z107" s="55" t="str">
        <f>Tabela1[[#This Row],[Material]]&amp;"-"&amp;Tabela1[[#This Row],[Centro
Origem]]&amp;"-"&amp;Tabela1[[#This Row],[Depósito]]&amp;"-"&amp;Tabela1[[#This Row],[Tipo de Avaliação]]&amp;"-"&amp;Tabela1[[#This Row],[Elemento PEP]]</f>
        <v>11106480-4419-JI01-IMOB/NAC-</v>
      </c>
      <c r="AA107" s="58" t="str">
        <f>INDEX(ResumoLotesSUPERBID[Sugestão],MATCH(Tabela1[[#This Row],[Lote]],ResumoLotesSUPERBID[LOTES],0))</f>
        <v>Para Leilão</v>
      </c>
      <c r="AB107" s="56">
        <f>INDEX(ResumoLotesSUPERBID[VMA / Comparação],MATCH(Tabela1[[#This Row],[Lote]],ResumoLotesSUPERBID[LOTES],0))</f>
        <v>0.26620207930466694</v>
      </c>
      <c r="AC107" s="59" t="str">
        <f>INDEX(ResumoLotesSUPERBID[Descrição],MATCH(Tabela1[[#This Row],[Lote]],ResumoLotesSUPERBID[LOTES],0))</f>
        <v>1% do Valor de Comparação do VMA</v>
      </c>
    </row>
    <row r="108" spans="1:29" x14ac:dyDescent="0.25">
      <c r="A108" s="20" t="s">
        <v>260</v>
      </c>
      <c r="B108" t="s">
        <v>47</v>
      </c>
      <c r="D108" s="16" t="s">
        <v>254</v>
      </c>
      <c r="E108" t="s">
        <v>61</v>
      </c>
      <c r="F108" s="22">
        <v>11117046</v>
      </c>
      <c r="G108" t="s">
        <v>261</v>
      </c>
      <c r="H108" s="6">
        <v>4419</v>
      </c>
      <c r="J108" s="6" t="s">
        <v>386</v>
      </c>
      <c r="K108" t="s">
        <v>390</v>
      </c>
      <c r="M108">
        <v>11</v>
      </c>
      <c r="N108" t="s">
        <v>391</v>
      </c>
      <c r="O108" s="7">
        <v>2000.74</v>
      </c>
      <c r="P108" s="7">
        <f>Tabela1[[#This Row],[Valor Contábil Unitário]]*Tabela1[[#This Row],[Quantidade]]</f>
        <v>22008.14</v>
      </c>
      <c r="Q108" s="7">
        <v>2000.7354545454546</v>
      </c>
      <c r="R108" s="7">
        <f>Tabela1[[#This Row],[Valor de Reposição Unitário]]*Tabela1[[#This Row],[Quantidade]]</f>
        <v>22008.09</v>
      </c>
      <c r="S108" s="48">
        <f>IF(Tabela1[[#This Row],[Valor Contábil Total]]&gt;Tabela1[[#This Row],[Valor total de Reposição]],Tabela1[[#This Row],[Valor Contábil Total]],Tabela1[[#This Row],[Valor total de Reposição]])</f>
        <v>22008.14</v>
      </c>
      <c r="T108" s="7">
        <v>540.19857272727279</v>
      </c>
      <c r="U108" s="7">
        <f>Tabela1[[#This Row],[VMA - Unitário]]*Tabela1[[#This Row],[Quantidade]]</f>
        <v>5942.1843000000008</v>
      </c>
      <c r="V108" s="48">
        <f>INDEX(ResumoLotesSUPERBID[VMA Total do Lote],MATCH(Tabela1[[#This Row],[Lote]],ResumoLotesSUPERBID[LOTES],0))</f>
        <v>188702.06634000002</v>
      </c>
      <c r="W108" s="57">
        <f>Tabela1[[#This Row],[VMA - Total]]/Tabela1[[#This Row],[VMA total do Lote]]</f>
        <v>3.1489768052107493E-2</v>
      </c>
      <c r="X108" t="s">
        <v>392</v>
      </c>
      <c r="Y108" t="s">
        <v>393</v>
      </c>
      <c r="Z108" s="55" t="str">
        <f>Tabela1[[#This Row],[Material]]&amp;"-"&amp;Tabela1[[#This Row],[Centro
Origem]]&amp;"-"&amp;Tabela1[[#This Row],[Depósito]]&amp;"-"&amp;Tabela1[[#This Row],[Tipo de Avaliação]]&amp;"-"&amp;Tabela1[[#This Row],[Elemento PEP]]</f>
        <v>11117046-4419-JI01-IMOB/NAC3-</v>
      </c>
      <c r="AA108" s="58" t="str">
        <f>INDEX(ResumoLotesSUPERBID[Sugestão],MATCH(Tabela1[[#This Row],[Lote]],ResumoLotesSUPERBID[LOTES],0))</f>
        <v>Para Leilão</v>
      </c>
      <c r="AB108" s="56">
        <f>INDEX(ResumoLotesSUPERBID[VMA / Comparação],MATCH(Tabela1[[#This Row],[Lote]],ResumoLotesSUPERBID[LOTES],0))</f>
        <v>0.26620207930466694</v>
      </c>
      <c r="AC108" s="59" t="str">
        <f>INDEX(ResumoLotesSUPERBID[Descrição],MATCH(Tabela1[[#This Row],[Lote]],ResumoLotesSUPERBID[LOTES],0))</f>
        <v>1% do Valor de Comparação do VMA</v>
      </c>
    </row>
    <row r="109" spans="1:29" x14ac:dyDescent="0.25">
      <c r="A109" s="20" t="s">
        <v>262</v>
      </c>
      <c r="B109" t="s">
        <v>47</v>
      </c>
      <c r="D109" s="16" t="s">
        <v>254</v>
      </c>
      <c r="E109" t="s">
        <v>61</v>
      </c>
      <c r="F109" s="22">
        <v>11117202</v>
      </c>
      <c r="G109" t="s">
        <v>261</v>
      </c>
      <c r="H109" s="6">
        <v>4419</v>
      </c>
      <c r="J109" s="6" t="s">
        <v>386</v>
      </c>
      <c r="K109" t="s">
        <v>385</v>
      </c>
      <c r="M109">
        <v>6</v>
      </c>
      <c r="N109" t="s">
        <v>391</v>
      </c>
      <c r="O109" s="7">
        <v>579.17999999999995</v>
      </c>
      <c r="P109" s="7">
        <f>Tabela1[[#This Row],[Valor Contábil Unitário]]*Tabela1[[#This Row],[Quantidade]]</f>
        <v>3475.08</v>
      </c>
      <c r="Q109" s="7">
        <v>579.18166666666673</v>
      </c>
      <c r="R109" s="7">
        <f>Tabela1[[#This Row],[Valor de Reposição Unitário]]*Tabela1[[#This Row],[Quantidade]]</f>
        <v>3475.09</v>
      </c>
      <c r="S109" s="48">
        <f>IF(Tabela1[[#This Row],[Valor Contábil Total]]&gt;Tabela1[[#This Row],[Valor total de Reposição]],Tabela1[[#This Row],[Valor Contábil Total]],Tabela1[[#This Row],[Valor total de Reposição]])</f>
        <v>3475.09</v>
      </c>
      <c r="T109" s="7">
        <v>156.37905000000003</v>
      </c>
      <c r="U109" s="7">
        <f>Tabela1[[#This Row],[VMA - Unitário]]*Tabela1[[#This Row],[Quantidade]]</f>
        <v>938.27430000000027</v>
      </c>
      <c r="V109" s="48">
        <f>INDEX(ResumoLotesSUPERBID[VMA Total do Lote],MATCH(Tabela1[[#This Row],[Lote]],ResumoLotesSUPERBID[LOTES],0))</f>
        <v>188702.06634000002</v>
      </c>
      <c r="W109" s="57">
        <f>Tabela1[[#This Row],[VMA - Total]]/Tabela1[[#This Row],[VMA total do Lote]]</f>
        <v>4.9722523881081107E-3</v>
      </c>
      <c r="X109" t="s">
        <v>392</v>
      </c>
      <c r="Y109" t="s">
        <v>393</v>
      </c>
      <c r="Z109" s="55" t="str">
        <f>Tabela1[[#This Row],[Material]]&amp;"-"&amp;Tabela1[[#This Row],[Centro
Origem]]&amp;"-"&amp;Tabela1[[#This Row],[Depósito]]&amp;"-"&amp;Tabela1[[#This Row],[Tipo de Avaliação]]&amp;"-"&amp;Tabela1[[#This Row],[Elemento PEP]]</f>
        <v>11117202-4419-JI01-IMOB/NAC-</v>
      </c>
      <c r="AA109" s="58" t="str">
        <f>INDEX(ResumoLotesSUPERBID[Sugestão],MATCH(Tabela1[[#This Row],[Lote]],ResumoLotesSUPERBID[LOTES],0))</f>
        <v>Para Leilão</v>
      </c>
      <c r="AB109" s="56">
        <f>INDEX(ResumoLotesSUPERBID[VMA / Comparação],MATCH(Tabela1[[#This Row],[Lote]],ResumoLotesSUPERBID[LOTES],0))</f>
        <v>0.26620207930466694</v>
      </c>
      <c r="AC109" s="59" t="str">
        <f>INDEX(ResumoLotesSUPERBID[Descrição],MATCH(Tabela1[[#This Row],[Lote]],ResumoLotesSUPERBID[LOTES],0))</f>
        <v>1% do Valor de Comparação do VMA</v>
      </c>
    </row>
    <row r="110" spans="1:29" x14ac:dyDescent="0.25">
      <c r="A110" s="20" t="s">
        <v>263</v>
      </c>
      <c r="B110" t="s">
        <v>47</v>
      </c>
      <c r="D110" s="16" t="s">
        <v>254</v>
      </c>
      <c r="E110" t="s">
        <v>61</v>
      </c>
      <c r="F110" s="22">
        <v>11117203</v>
      </c>
      <c r="G110" t="s">
        <v>264</v>
      </c>
      <c r="H110" s="6">
        <v>4419</v>
      </c>
      <c r="J110" s="6" t="s">
        <v>386</v>
      </c>
      <c r="K110" t="s">
        <v>390</v>
      </c>
      <c r="M110">
        <v>18</v>
      </c>
      <c r="N110" t="s">
        <v>391</v>
      </c>
      <c r="O110" s="7">
        <v>771.97</v>
      </c>
      <c r="P110" s="7">
        <f>Tabela1[[#This Row],[Valor Contábil Unitário]]*Tabela1[[#This Row],[Quantidade]]</f>
        <v>13895.460000000001</v>
      </c>
      <c r="Q110" s="7">
        <v>771.97388888888895</v>
      </c>
      <c r="R110" s="7">
        <f>Tabela1[[#This Row],[Valor de Reposição Unitário]]*Tabela1[[#This Row],[Quantidade]]</f>
        <v>13895.53</v>
      </c>
      <c r="S110" s="48">
        <f>IF(Tabela1[[#This Row],[Valor Contábil Total]]&gt;Tabela1[[#This Row],[Valor total de Reposição]],Tabela1[[#This Row],[Valor Contábil Total]],Tabela1[[#This Row],[Valor total de Reposição]])</f>
        <v>13895.53</v>
      </c>
      <c r="T110" s="7">
        <v>208.43295000000001</v>
      </c>
      <c r="U110" s="7">
        <f>Tabela1[[#This Row],[VMA - Unitário]]*Tabela1[[#This Row],[Quantidade]]</f>
        <v>3751.7930999999999</v>
      </c>
      <c r="V110" s="48">
        <f>INDEX(ResumoLotesSUPERBID[VMA Total do Lote],MATCH(Tabela1[[#This Row],[Lote]],ResumoLotesSUPERBID[LOTES],0))</f>
        <v>188702.06634000002</v>
      </c>
      <c r="W110" s="57">
        <f>Tabela1[[#This Row],[VMA - Total]]/Tabela1[[#This Row],[VMA total do Lote]]</f>
        <v>1.9882098658316152E-2</v>
      </c>
      <c r="X110" t="s">
        <v>392</v>
      </c>
      <c r="Y110" t="s">
        <v>393</v>
      </c>
      <c r="Z110" s="55" t="str">
        <f>Tabela1[[#This Row],[Material]]&amp;"-"&amp;Tabela1[[#This Row],[Centro
Origem]]&amp;"-"&amp;Tabela1[[#This Row],[Depósito]]&amp;"-"&amp;Tabela1[[#This Row],[Tipo de Avaliação]]&amp;"-"&amp;Tabela1[[#This Row],[Elemento PEP]]</f>
        <v>11117203-4419-JI01-IMOB/NAC3-</v>
      </c>
      <c r="AA110" s="58" t="str">
        <f>INDEX(ResumoLotesSUPERBID[Sugestão],MATCH(Tabela1[[#This Row],[Lote]],ResumoLotesSUPERBID[LOTES],0))</f>
        <v>Para Leilão</v>
      </c>
      <c r="AB110" s="56">
        <f>INDEX(ResumoLotesSUPERBID[VMA / Comparação],MATCH(Tabela1[[#This Row],[Lote]],ResumoLotesSUPERBID[LOTES],0))</f>
        <v>0.26620207930466694</v>
      </c>
      <c r="AC110" s="59" t="str">
        <f>INDEX(ResumoLotesSUPERBID[Descrição],MATCH(Tabela1[[#This Row],[Lote]],ResumoLotesSUPERBID[LOTES],0))</f>
        <v>1% do Valor de Comparação do VMA</v>
      </c>
    </row>
    <row r="111" spans="1:29" x14ac:dyDescent="0.25">
      <c r="A111" s="20" t="s">
        <v>265</v>
      </c>
      <c r="B111" t="s">
        <v>47</v>
      </c>
      <c r="D111" s="16" t="s">
        <v>254</v>
      </c>
      <c r="E111" t="s">
        <v>61</v>
      </c>
      <c r="F111" s="22">
        <v>11117204</v>
      </c>
      <c r="G111" t="s">
        <v>266</v>
      </c>
      <c r="H111" s="6">
        <v>4419</v>
      </c>
      <c r="J111" s="6" t="s">
        <v>386</v>
      </c>
      <c r="K111" t="s">
        <v>390</v>
      </c>
      <c r="M111">
        <v>18</v>
      </c>
      <c r="N111" t="s">
        <v>391</v>
      </c>
      <c r="O111" s="7">
        <v>650.61</v>
      </c>
      <c r="P111" s="7">
        <f>Tabela1[[#This Row],[Valor Contábil Unitário]]*Tabela1[[#This Row],[Quantidade]]</f>
        <v>11710.98</v>
      </c>
      <c r="Q111" s="7">
        <v>650.61333333333334</v>
      </c>
      <c r="R111" s="7">
        <f>Tabela1[[#This Row],[Valor de Reposição Unitário]]*Tabela1[[#This Row],[Quantidade]]</f>
        <v>11711.04</v>
      </c>
      <c r="S111" s="48">
        <f>IF(Tabela1[[#This Row],[Valor Contábil Total]]&gt;Tabela1[[#This Row],[Valor total de Reposição]],Tabela1[[#This Row],[Valor Contábil Total]],Tabela1[[#This Row],[Valor total de Reposição]])</f>
        <v>11711.04</v>
      </c>
      <c r="T111" s="7">
        <v>175.66560000000001</v>
      </c>
      <c r="U111" s="7">
        <f>Tabela1[[#This Row],[VMA - Unitário]]*Tabela1[[#This Row],[Quantidade]]</f>
        <v>3161.9808000000003</v>
      </c>
      <c r="V111" s="48">
        <f>INDEX(ResumoLotesSUPERBID[VMA Total do Lote],MATCH(Tabela1[[#This Row],[Lote]],ResumoLotesSUPERBID[LOTES],0))</f>
        <v>188702.06634000002</v>
      </c>
      <c r="W111" s="57">
        <f>Tabela1[[#This Row],[VMA - Total]]/Tabela1[[#This Row],[VMA total do Lote]]</f>
        <v>1.6756471517926041E-2</v>
      </c>
      <c r="X111" t="s">
        <v>392</v>
      </c>
      <c r="Y111" t="s">
        <v>393</v>
      </c>
      <c r="Z111" s="55" t="str">
        <f>Tabela1[[#This Row],[Material]]&amp;"-"&amp;Tabela1[[#This Row],[Centro
Origem]]&amp;"-"&amp;Tabela1[[#This Row],[Depósito]]&amp;"-"&amp;Tabela1[[#This Row],[Tipo de Avaliação]]&amp;"-"&amp;Tabela1[[#This Row],[Elemento PEP]]</f>
        <v>11117204-4419-JI01-IMOB/NAC3-</v>
      </c>
      <c r="AA111" s="58" t="str">
        <f>INDEX(ResumoLotesSUPERBID[Sugestão],MATCH(Tabela1[[#This Row],[Lote]],ResumoLotesSUPERBID[LOTES],0))</f>
        <v>Para Leilão</v>
      </c>
      <c r="AB111" s="56">
        <f>INDEX(ResumoLotesSUPERBID[VMA / Comparação],MATCH(Tabela1[[#This Row],[Lote]],ResumoLotesSUPERBID[LOTES],0))</f>
        <v>0.26620207930466694</v>
      </c>
      <c r="AC111" s="59" t="str">
        <f>INDEX(ResumoLotesSUPERBID[Descrição],MATCH(Tabela1[[#This Row],[Lote]],ResumoLotesSUPERBID[LOTES],0))</f>
        <v>1% do Valor de Comparação do VMA</v>
      </c>
    </row>
    <row r="112" spans="1:29" x14ac:dyDescent="0.25">
      <c r="A112" s="20" t="s">
        <v>267</v>
      </c>
      <c r="B112" t="s">
        <v>47</v>
      </c>
      <c r="D112" s="16" t="s">
        <v>254</v>
      </c>
      <c r="E112" t="s">
        <v>61</v>
      </c>
      <c r="F112" s="22">
        <v>11117205</v>
      </c>
      <c r="G112" t="s">
        <v>266</v>
      </c>
      <c r="H112" s="6">
        <v>4419</v>
      </c>
      <c r="J112" s="6" t="s">
        <v>386</v>
      </c>
      <c r="K112" t="s">
        <v>390</v>
      </c>
      <c r="M112">
        <v>2</v>
      </c>
      <c r="N112" t="s">
        <v>391</v>
      </c>
      <c r="O112" s="7">
        <v>17532.28</v>
      </c>
      <c r="P112" s="7">
        <f>Tabela1[[#This Row],[Valor Contábil Unitário]]*Tabela1[[#This Row],[Quantidade]]</f>
        <v>35064.559999999998</v>
      </c>
      <c r="Q112" s="7">
        <v>17532.28</v>
      </c>
      <c r="R112" s="7">
        <f>Tabela1[[#This Row],[Valor de Reposição Unitário]]*Tabela1[[#This Row],[Quantidade]]</f>
        <v>35064.559999999998</v>
      </c>
      <c r="S112" s="48">
        <f>IF(Tabela1[[#This Row],[Valor Contábil Total]]&gt;Tabela1[[#This Row],[Valor total de Reposição]],Tabela1[[#This Row],[Valor Contábil Total]],Tabela1[[#This Row],[Valor total de Reposição]])</f>
        <v>35064.559999999998</v>
      </c>
      <c r="T112" s="7">
        <v>4733.7156000000004</v>
      </c>
      <c r="U112" s="7">
        <f>Tabela1[[#This Row],[VMA - Unitário]]*Tabela1[[#This Row],[Quantidade]]</f>
        <v>9467.4312000000009</v>
      </c>
      <c r="V112" s="48">
        <f>INDEX(ResumoLotesSUPERBID[VMA Total do Lote],MATCH(Tabela1[[#This Row],[Lote]],ResumoLotesSUPERBID[LOTES],0))</f>
        <v>188702.06634000002</v>
      </c>
      <c r="W112" s="57">
        <f>Tabela1[[#This Row],[VMA - Total]]/Tabela1[[#This Row],[VMA total do Lote]]</f>
        <v>5.0171317058827283E-2</v>
      </c>
      <c r="X112" t="s">
        <v>392</v>
      </c>
      <c r="Y112" t="s">
        <v>393</v>
      </c>
      <c r="Z112" s="55" t="str">
        <f>Tabela1[[#This Row],[Material]]&amp;"-"&amp;Tabela1[[#This Row],[Centro
Origem]]&amp;"-"&amp;Tabela1[[#This Row],[Depósito]]&amp;"-"&amp;Tabela1[[#This Row],[Tipo de Avaliação]]&amp;"-"&amp;Tabela1[[#This Row],[Elemento PEP]]</f>
        <v>11117205-4419-JI01-IMOB/NAC3-</v>
      </c>
      <c r="AA112" s="58" t="str">
        <f>INDEX(ResumoLotesSUPERBID[Sugestão],MATCH(Tabela1[[#This Row],[Lote]],ResumoLotesSUPERBID[LOTES],0))</f>
        <v>Para Leilão</v>
      </c>
      <c r="AB112" s="56">
        <f>INDEX(ResumoLotesSUPERBID[VMA / Comparação],MATCH(Tabela1[[#This Row],[Lote]],ResumoLotesSUPERBID[LOTES],0))</f>
        <v>0.26620207930466694</v>
      </c>
      <c r="AC112" s="59" t="str">
        <f>INDEX(ResumoLotesSUPERBID[Descrição],MATCH(Tabela1[[#This Row],[Lote]],ResumoLotesSUPERBID[LOTES],0))</f>
        <v>1% do Valor de Comparação do VMA</v>
      </c>
    </row>
    <row r="113" spans="1:29" x14ac:dyDescent="0.25">
      <c r="A113" s="20" t="s">
        <v>268</v>
      </c>
      <c r="B113" t="s">
        <v>47</v>
      </c>
      <c r="D113" s="16" t="s">
        <v>254</v>
      </c>
      <c r="E113" t="s">
        <v>61</v>
      </c>
      <c r="F113" s="22">
        <v>11117213</v>
      </c>
      <c r="G113" t="s">
        <v>269</v>
      </c>
      <c r="H113" s="6">
        <v>4419</v>
      </c>
      <c r="J113" s="6" t="s">
        <v>386</v>
      </c>
      <c r="K113" t="s">
        <v>390</v>
      </c>
      <c r="M113">
        <v>6</v>
      </c>
      <c r="N113" t="s">
        <v>391</v>
      </c>
      <c r="O113" s="7">
        <v>762.41</v>
      </c>
      <c r="P113" s="7">
        <f>Tabela1[[#This Row],[Valor Contábil Unitário]]*Tabela1[[#This Row],[Quantidade]]</f>
        <v>4574.46</v>
      </c>
      <c r="Q113" s="7">
        <v>762.40783333333331</v>
      </c>
      <c r="R113" s="7">
        <f>Tabela1[[#This Row],[Valor de Reposição Unitário]]*Tabela1[[#This Row],[Quantidade]]</f>
        <v>4574.4470000000001</v>
      </c>
      <c r="S113" s="48">
        <f>IF(Tabela1[[#This Row],[Valor Contábil Total]]&gt;Tabela1[[#This Row],[Valor total de Reposição]],Tabela1[[#This Row],[Valor Contábil Total]],Tabela1[[#This Row],[Valor total de Reposição]])</f>
        <v>4574.46</v>
      </c>
      <c r="T113" s="7">
        <v>205.85011500000005</v>
      </c>
      <c r="U113" s="7">
        <f>Tabela1[[#This Row],[VMA - Unitário]]*Tabela1[[#This Row],[Quantidade]]</f>
        <v>1235.1006900000002</v>
      </c>
      <c r="V113" s="48">
        <f>INDEX(ResumoLotesSUPERBID[VMA Total do Lote],MATCH(Tabela1[[#This Row],[Lote]],ResumoLotesSUPERBID[LOTES],0))</f>
        <v>188702.06634000002</v>
      </c>
      <c r="W113" s="57">
        <f>Tabela1[[#This Row],[VMA - Total]]/Tabela1[[#This Row],[VMA total do Lote]]</f>
        <v>6.5452419994946843E-3</v>
      </c>
      <c r="X113" t="s">
        <v>392</v>
      </c>
      <c r="Y113" t="s">
        <v>393</v>
      </c>
      <c r="Z113" s="55" t="str">
        <f>Tabela1[[#This Row],[Material]]&amp;"-"&amp;Tabela1[[#This Row],[Centro
Origem]]&amp;"-"&amp;Tabela1[[#This Row],[Depósito]]&amp;"-"&amp;Tabela1[[#This Row],[Tipo de Avaliação]]&amp;"-"&amp;Tabela1[[#This Row],[Elemento PEP]]</f>
        <v>11117213-4419-JI01-IMOB/NAC3-</v>
      </c>
      <c r="AA113" s="58" t="str">
        <f>INDEX(ResumoLotesSUPERBID[Sugestão],MATCH(Tabela1[[#This Row],[Lote]],ResumoLotesSUPERBID[LOTES],0))</f>
        <v>Para Leilão</v>
      </c>
      <c r="AB113" s="56">
        <f>INDEX(ResumoLotesSUPERBID[VMA / Comparação],MATCH(Tabela1[[#This Row],[Lote]],ResumoLotesSUPERBID[LOTES],0))</f>
        <v>0.26620207930466694</v>
      </c>
      <c r="AC113" s="59" t="str">
        <f>INDEX(ResumoLotesSUPERBID[Descrição],MATCH(Tabela1[[#This Row],[Lote]],ResumoLotesSUPERBID[LOTES],0))</f>
        <v>1% do Valor de Comparação do VMA</v>
      </c>
    </row>
    <row r="114" spans="1:29" x14ac:dyDescent="0.25">
      <c r="A114" s="20" t="s">
        <v>270</v>
      </c>
      <c r="B114" t="s">
        <v>47</v>
      </c>
      <c r="D114" s="16" t="s">
        <v>254</v>
      </c>
      <c r="E114" t="s">
        <v>61</v>
      </c>
      <c r="F114" s="22">
        <v>11117989</v>
      </c>
      <c r="G114" t="s">
        <v>271</v>
      </c>
      <c r="H114" s="6">
        <v>4419</v>
      </c>
      <c r="J114" s="6" t="s">
        <v>386</v>
      </c>
      <c r="K114" t="s">
        <v>385</v>
      </c>
      <c r="M114">
        <v>8</v>
      </c>
      <c r="N114" t="s">
        <v>391</v>
      </c>
      <c r="O114" s="7">
        <v>6062.95</v>
      </c>
      <c r="P114" s="7">
        <f>Tabela1[[#This Row],[Valor Contábil Unitário]]*Tabela1[[#This Row],[Quantidade]]</f>
        <v>48503.6</v>
      </c>
      <c r="Q114" s="7">
        <v>6062.9537499999997</v>
      </c>
      <c r="R114" s="7">
        <f>Tabela1[[#This Row],[Valor de Reposição Unitário]]*Tabela1[[#This Row],[Quantidade]]</f>
        <v>48503.63</v>
      </c>
      <c r="S114" s="48">
        <f>IF(Tabela1[[#This Row],[Valor Contábil Total]]&gt;Tabela1[[#This Row],[Valor total de Reposição]],Tabela1[[#This Row],[Valor Contábil Total]],Tabela1[[#This Row],[Valor total de Reposição]])</f>
        <v>48503.63</v>
      </c>
      <c r="T114" s="7">
        <v>1636.9975125000001</v>
      </c>
      <c r="U114" s="7">
        <f>Tabela1[[#This Row],[VMA - Unitário]]*Tabela1[[#This Row],[Quantidade]]</f>
        <v>13095.980100000001</v>
      </c>
      <c r="V114" s="48">
        <f>INDEX(ResumoLotesSUPERBID[VMA Total do Lote],MATCH(Tabela1[[#This Row],[Lote]],ResumoLotesSUPERBID[LOTES],0))</f>
        <v>188702.06634000002</v>
      </c>
      <c r="W114" s="57">
        <f>Tabela1[[#This Row],[VMA - Total]]/Tabela1[[#This Row],[VMA total do Lote]]</f>
        <v>6.9400300452480981E-2</v>
      </c>
      <c r="X114" t="s">
        <v>392</v>
      </c>
      <c r="Y114" t="s">
        <v>393</v>
      </c>
      <c r="Z114" s="55" t="str">
        <f>Tabela1[[#This Row],[Material]]&amp;"-"&amp;Tabela1[[#This Row],[Centro
Origem]]&amp;"-"&amp;Tabela1[[#This Row],[Depósito]]&amp;"-"&amp;Tabela1[[#This Row],[Tipo de Avaliação]]&amp;"-"&amp;Tabela1[[#This Row],[Elemento PEP]]</f>
        <v>11117989-4419-JI01-IMOB/NAC-</v>
      </c>
      <c r="AA114" s="58" t="str">
        <f>INDEX(ResumoLotesSUPERBID[Sugestão],MATCH(Tabela1[[#This Row],[Lote]],ResumoLotesSUPERBID[LOTES],0))</f>
        <v>Para Leilão</v>
      </c>
      <c r="AB114" s="56">
        <f>INDEX(ResumoLotesSUPERBID[VMA / Comparação],MATCH(Tabela1[[#This Row],[Lote]],ResumoLotesSUPERBID[LOTES],0))</f>
        <v>0.26620207930466694</v>
      </c>
      <c r="AC114" s="59" t="str">
        <f>INDEX(ResumoLotesSUPERBID[Descrição],MATCH(Tabela1[[#This Row],[Lote]],ResumoLotesSUPERBID[LOTES],0))</f>
        <v>1% do Valor de Comparação do VMA</v>
      </c>
    </row>
    <row r="115" spans="1:29" x14ac:dyDescent="0.25">
      <c r="A115" s="20" t="s">
        <v>272</v>
      </c>
      <c r="B115" t="s">
        <v>47</v>
      </c>
      <c r="D115" s="16" t="s">
        <v>254</v>
      </c>
      <c r="E115" t="s">
        <v>61</v>
      </c>
      <c r="F115" s="22">
        <v>11117992</v>
      </c>
      <c r="G115" t="s">
        <v>273</v>
      </c>
      <c r="H115" s="6">
        <v>4419</v>
      </c>
      <c r="J115" s="6" t="s">
        <v>386</v>
      </c>
      <c r="K115" t="s">
        <v>385</v>
      </c>
      <c r="M115">
        <v>8</v>
      </c>
      <c r="N115" t="s">
        <v>391</v>
      </c>
      <c r="O115" s="7">
        <v>1289.1400000000001</v>
      </c>
      <c r="P115" s="7">
        <f>Tabela1[[#This Row],[Valor Contábil Unitário]]*Tabela1[[#This Row],[Quantidade]]</f>
        <v>10313.120000000001</v>
      </c>
      <c r="Q115" s="7">
        <v>1289.1375</v>
      </c>
      <c r="R115" s="7">
        <f>Tabela1[[#This Row],[Valor de Reposição Unitário]]*Tabela1[[#This Row],[Quantidade]]</f>
        <v>10313.1</v>
      </c>
      <c r="S115" s="48">
        <f>IF(Tabela1[[#This Row],[Valor Contábil Total]]&gt;Tabela1[[#This Row],[Valor total de Reposição]],Tabela1[[#This Row],[Valor Contábil Total]],Tabela1[[#This Row],[Valor total de Reposição]])</f>
        <v>10313.120000000001</v>
      </c>
      <c r="T115" s="7">
        <v>348.06712500000003</v>
      </c>
      <c r="U115" s="7">
        <f>Tabela1[[#This Row],[VMA - Unitário]]*Tabela1[[#This Row],[Quantidade]]</f>
        <v>2784.5370000000003</v>
      </c>
      <c r="V115" s="48">
        <f>INDEX(ResumoLotesSUPERBID[VMA Total do Lote],MATCH(Tabela1[[#This Row],[Lote]],ResumoLotesSUPERBID[LOTES],0))</f>
        <v>188702.06634000002</v>
      </c>
      <c r="W115" s="57">
        <f>Tabela1[[#This Row],[VMA - Total]]/Tabela1[[#This Row],[VMA total do Lote]]</f>
        <v>1.4756261306555442E-2</v>
      </c>
      <c r="X115" t="s">
        <v>392</v>
      </c>
      <c r="Y115" t="s">
        <v>393</v>
      </c>
      <c r="Z115" s="55" t="str">
        <f>Tabela1[[#This Row],[Material]]&amp;"-"&amp;Tabela1[[#This Row],[Centro
Origem]]&amp;"-"&amp;Tabela1[[#This Row],[Depósito]]&amp;"-"&amp;Tabela1[[#This Row],[Tipo de Avaliação]]&amp;"-"&amp;Tabela1[[#This Row],[Elemento PEP]]</f>
        <v>11117992-4419-JI01-IMOB/NAC-</v>
      </c>
      <c r="AA115" s="58" t="str">
        <f>INDEX(ResumoLotesSUPERBID[Sugestão],MATCH(Tabela1[[#This Row],[Lote]],ResumoLotesSUPERBID[LOTES],0))</f>
        <v>Para Leilão</v>
      </c>
      <c r="AB115" s="56">
        <f>INDEX(ResumoLotesSUPERBID[VMA / Comparação],MATCH(Tabela1[[#This Row],[Lote]],ResumoLotesSUPERBID[LOTES],0))</f>
        <v>0.26620207930466694</v>
      </c>
      <c r="AC115" s="59" t="str">
        <f>INDEX(ResumoLotesSUPERBID[Descrição],MATCH(Tabela1[[#This Row],[Lote]],ResumoLotesSUPERBID[LOTES],0))</f>
        <v>1% do Valor de Comparação do VMA</v>
      </c>
    </row>
    <row r="116" spans="1:29" x14ac:dyDescent="0.25">
      <c r="A116" s="20" t="s">
        <v>274</v>
      </c>
      <c r="B116" t="s">
        <v>47</v>
      </c>
      <c r="D116" s="16" t="s">
        <v>254</v>
      </c>
      <c r="E116" t="s">
        <v>61</v>
      </c>
      <c r="F116" s="22">
        <v>11324035</v>
      </c>
      <c r="G116" t="s">
        <v>275</v>
      </c>
      <c r="H116" s="6">
        <v>4419</v>
      </c>
      <c r="J116" s="6" t="s">
        <v>386</v>
      </c>
      <c r="K116" t="s">
        <v>385</v>
      </c>
      <c r="M116">
        <v>2</v>
      </c>
      <c r="N116" t="s">
        <v>391</v>
      </c>
      <c r="O116" s="7">
        <v>20862.36</v>
      </c>
      <c r="P116" s="7">
        <f>Tabela1[[#This Row],[Valor Contábil Unitário]]*Tabela1[[#This Row],[Quantidade]]</f>
        <v>41724.720000000001</v>
      </c>
      <c r="Q116" s="7">
        <v>20862.355</v>
      </c>
      <c r="R116" s="7">
        <f>Tabela1[[#This Row],[Valor de Reposição Unitário]]*Tabela1[[#This Row],[Quantidade]]</f>
        <v>41724.71</v>
      </c>
      <c r="S116" s="48">
        <f>IF(Tabela1[[#This Row],[Valor Contábil Total]]&gt;Tabela1[[#This Row],[Valor total de Reposição]],Tabela1[[#This Row],[Valor Contábil Total]],Tabela1[[#This Row],[Valor total de Reposição]])</f>
        <v>41724.720000000001</v>
      </c>
      <c r="T116" s="7">
        <v>5632.8358500000004</v>
      </c>
      <c r="U116" s="7">
        <f>Tabela1[[#This Row],[VMA - Unitário]]*Tabela1[[#This Row],[Quantidade]]</f>
        <v>11265.671700000001</v>
      </c>
      <c r="V116" s="48">
        <f>INDEX(ResumoLotesSUPERBID[VMA Total do Lote],MATCH(Tabela1[[#This Row],[Lote]],ResumoLotesSUPERBID[LOTES],0))</f>
        <v>188702.06634000002</v>
      </c>
      <c r="W116" s="57">
        <f>Tabela1[[#This Row],[VMA - Total]]/Tabela1[[#This Row],[VMA total do Lote]]</f>
        <v>5.9700839097870363E-2</v>
      </c>
      <c r="X116" t="s">
        <v>392</v>
      </c>
      <c r="Y116" t="s">
        <v>393</v>
      </c>
      <c r="Z116" s="55" t="str">
        <f>Tabela1[[#This Row],[Material]]&amp;"-"&amp;Tabela1[[#This Row],[Centro
Origem]]&amp;"-"&amp;Tabela1[[#This Row],[Depósito]]&amp;"-"&amp;Tabela1[[#This Row],[Tipo de Avaliação]]&amp;"-"&amp;Tabela1[[#This Row],[Elemento PEP]]</f>
        <v>11324035-4419-JI01-IMOB/NAC-</v>
      </c>
      <c r="AA116" s="58" t="str">
        <f>INDEX(ResumoLotesSUPERBID[Sugestão],MATCH(Tabela1[[#This Row],[Lote]],ResumoLotesSUPERBID[LOTES],0))</f>
        <v>Para Leilão</v>
      </c>
      <c r="AB116" s="56">
        <f>INDEX(ResumoLotesSUPERBID[VMA / Comparação],MATCH(Tabela1[[#This Row],[Lote]],ResumoLotesSUPERBID[LOTES],0))</f>
        <v>0.26620207930466694</v>
      </c>
      <c r="AC116" s="59" t="str">
        <f>INDEX(ResumoLotesSUPERBID[Descrição],MATCH(Tabela1[[#This Row],[Lote]],ResumoLotesSUPERBID[LOTES],0))</f>
        <v>1% do Valor de Comparação do VMA</v>
      </c>
    </row>
    <row r="117" spans="1:29" x14ac:dyDescent="0.25">
      <c r="A117" s="20" t="s">
        <v>276</v>
      </c>
      <c r="B117" t="s">
        <v>47</v>
      </c>
      <c r="D117" s="16" t="s">
        <v>254</v>
      </c>
      <c r="E117" t="s">
        <v>61</v>
      </c>
      <c r="F117" s="22">
        <v>11324060</v>
      </c>
      <c r="G117" t="s">
        <v>277</v>
      </c>
      <c r="H117" s="6">
        <v>4419</v>
      </c>
      <c r="J117" s="6" t="s">
        <v>386</v>
      </c>
      <c r="K117" t="s">
        <v>385</v>
      </c>
      <c r="M117">
        <v>9</v>
      </c>
      <c r="N117" t="s">
        <v>391</v>
      </c>
      <c r="O117" s="7">
        <v>3570.91</v>
      </c>
      <c r="P117" s="7">
        <f>Tabela1[[#This Row],[Valor Contábil Unitário]]*Tabela1[[#This Row],[Quantidade]]</f>
        <v>32138.19</v>
      </c>
      <c r="Q117" s="7">
        <v>3570.9133333333334</v>
      </c>
      <c r="R117" s="7">
        <f>Tabela1[[#This Row],[Valor de Reposição Unitário]]*Tabela1[[#This Row],[Quantidade]]</f>
        <v>32138.22</v>
      </c>
      <c r="S117" s="48">
        <f>IF(Tabela1[[#This Row],[Valor Contábil Total]]&gt;Tabela1[[#This Row],[Valor total de Reposição]],Tabela1[[#This Row],[Valor Contábil Total]],Tabela1[[#This Row],[Valor total de Reposição]])</f>
        <v>32138.22</v>
      </c>
      <c r="T117" s="7">
        <v>964.14660000000003</v>
      </c>
      <c r="U117" s="7">
        <f>Tabela1[[#This Row],[VMA - Unitário]]*Tabela1[[#This Row],[Quantidade]]</f>
        <v>8677.3194000000003</v>
      </c>
      <c r="V117" s="48">
        <f>INDEX(ResumoLotesSUPERBID[VMA Total do Lote],MATCH(Tabela1[[#This Row],[Lote]],ResumoLotesSUPERBID[LOTES],0))</f>
        <v>188702.06634000002</v>
      </c>
      <c r="W117" s="57">
        <f>Tabela1[[#This Row],[VMA - Total]]/Tabela1[[#This Row],[VMA total do Lote]]</f>
        <v>4.5984230953599423E-2</v>
      </c>
      <c r="X117" t="s">
        <v>392</v>
      </c>
      <c r="Y117" t="s">
        <v>393</v>
      </c>
      <c r="Z117" s="55" t="str">
        <f>Tabela1[[#This Row],[Material]]&amp;"-"&amp;Tabela1[[#This Row],[Centro
Origem]]&amp;"-"&amp;Tabela1[[#This Row],[Depósito]]&amp;"-"&amp;Tabela1[[#This Row],[Tipo de Avaliação]]&amp;"-"&amp;Tabela1[[#This Row],[Elemento PEP]]</f>
        <v>11324060-4419-JI01-IMOB/NAC-</v>
      </c>
      <c r="AA117" s="58" t="str">
        <f>INDEX(ResumoLotesSUPERBID[Sugestão],MATCH(Tabela1[[#This Row],[Lote]],ResumoLotesSUPERBID[LOTES],0))</f>
        <v>Para Leilão</v>
      </c>
      <c r="AB117" s="56">
        <f>INDEX(ResumoLotesSUPERBID[VMA / Comparação],MATCH(Tabela1[[#This Row],[Lote]],ResumoLotesSUPERBID[LOTES],0))</f>
        <v>0.26620207930466694</v>
      </c>
      <c r="AC117" s="59" t="str">
        <f>INDEX(ResumoLotesSUPERBID[Descrição],MATCH(Tabela1[[#This Row],[Lote]],ResumoLotesSUPERBID[LOTES],0))</f>
        <v>1% do Valor de Comparação do VMA</v>
      </c>
    </row>
    <row r="118" spans="1:29" x14ac:dyDescent="0.25">
      <c r="A118" s="20" t="s">
        <v>278</v>
      </c>
      <c r="B118" t="s">
        <v>47</v>
      </c>
      <c r="D118" s="16" t="s">
        <v>254</v>
      </c>
      <c r="E118" t="s">
        <v>61</v>
      </c>
      <c r="F118" s="22">
        <v>11324062</v>
      </c>
      <c r="G118" t="s">
        <v>279</v>
      </c>
      <c r="H118" s="6">
        <v>4419</v>
      </c>
      <c r="J118" s="6" t="s">
        <v>386</v>
      </c>
      <c r="K118" t="s">
        <v>385</v>
      </c>
      <c r="M118">
        <v>12</v>
      </c>
      <c r="N118" t="s">
        <v>391</v>
      </c>
      <c r="O118" s="7">
        <v>3669.07</v>
      </c>
      <c r="P118" s="7">
        <f>Tabela1[[#This Row],[Valor Contábil Unitário]]*Tabela1[[#This Row],[Quantidade]]</f>
        <v>44028.840000000004</v>
      </c>
      <c r="Q118" s="7">
        <v>3669.0650000000001</v>
      </c>
      <c r="R118" s="7">
        <f>Tabela1[[#This Row],[Valor de Reposição Unitário]]*Tabela1[[#This Row],[Quantidade]]</f>
        <v>44028.78</v>
      </c>
      <c r="S118" s="48">
        <f>IF(Tabela1[[#This Row],[Valor Contábil Total]]&gt;Tabela1[[#This Row],[Valor total de Reposição]],Tabela1[[#This Row],[Valor Contábil Total]],Tabela1[[#This Row],[Valor total de Reposição]])</f>
        <v>44028.840000000004</v>
      </c>
      <c r="T118" s="7">
        <v>990.64755000000002</v>
      </c>
      <c r="U118" s="7">
        <f>Tabela1[[#This Row],[VMA - Unitário]]*Tabela1[[#This Row],[Quantidade]]</f>
        <v>11887.7706</v>
      </c>
      <c r="V118" s="48">
        <f>INDEX(ResumoLotesSUPERBID[VMA Total do Lote],MATCH(Tabela1[[#This Row],[Lote]],ResumoLotesSUPERBID[LOTES],0))</f>
        <v>188702.06634000002</v>
      </c>
      <c r="W118" s="57">
        <f>Tabela1[[#This Row],[VMA - Total]]/Tabela1[[#This Row],[VMA total do Lote]]</f>
        <v>6.2997564523648755E-2</v>
      </c>
      <c r="X118" t="s">
        <v>392</v>
      </c>
      <c r="Y118" t="s">
        <v>393</v>
      </c>
      <c r="Z118" s="55" t="str">
        <f>Tabela1[[#This Row],[Material]]&amp;"-"&amp;Tabela1[[#This Row],[Centro
Origem]]&amp;"-"&amp;Tabela1[[#This Row],[Depósito]]&amp;"-"&amp;Tabela1[[#This Row],[Tipo de Avaliação]]&amp;"-"&amp;Tabela1[[#This Row],[Elemento PEP]]</f>
        <v>11324062-4419-JI01-IMOB/NAC-</v>
      </c>
      <c r="AA118" s="58" t="str">
        <f>INDEX(ResumoLotesSUPERBID[Sugestão],MATCH(Tabela1[[#This Row],[Lote]],ResumoLotesSUPERBID[LOTES],0))</f>
        <v>Para Leilão</v>
      </c>
      <c r="AB118" s="56">
        <f>INDEX(ResumoLotesSUPERBID[VMA / Comparação],MATCH(Tabela1[[#This Row],[Lote]],ResumoLotesSUPERBID[LOTES],0))</f>
        <v>0.26620207930466694</v>
      </c>
      <c r="AC118" s="59" t="str">
        <f>INDEX(ResumoLotesSUPERBID[Descrição],MATCH(Tabela1[[#This Row],[Lote]],ResumoLotesSUPERBID[LOTES],0))</f>
        <v>1% do Valor de Comparação do VMA</v>
      </c>
    </row>
    <row r="119" spans="1:29" x14ac:dyDescent="0.25">
      <c r="A119" s="20" t="s">
        <v>280</v>
      </c>
      <c r="B119" t="s">
        <v>47</v>
      </c>
      <c r="D119" s="16" t="s">
        <v>254</v>
      </c>
      <c r="E119" t="s">
        <v>61</v>
      </c>
      <c r="F119" s="22">
        <v>11324063</v>
      </c>
      <c r="G119" t="s">
        <v>279</v>
      </c>
      <c r="H119" s="6">
        <v>4419</v>
      </c>
      <c r="J119" s="6" t="s">
        <v>386</v>
      </c>
      <c r="K119" t="s">
        <v>385</v>
      </c>
      <c r="M119">
        <v>9</v>
      </c>
      <c r="N119" t="s">
        <v>391</v>
      </c>
      <c r="O119" s="7">
        <v>3907.37</v>
      </c>
      <c r="P119" s="7">
        <f>Tabela1[[#This Row],[Valor Contábil Unitário]]*Tabela1[[#This Row],[Quantidade]]</f>
        <v>35166.33</v>
      </c>
      <c r="Q119" s="7">
        <v>3907.3722222222223</v>
      </c>
      <c r="R119" s="7">
        <f>Tabela1[[#This Row],[Valor de Reposição Unitário]]*Tabela1[[#This Row],[Quantidade]]</f>
        <v>35166.35</v>
      </c>
      <c r="S119" s="48">
        <f>IF(Tabela1[[#This Row],[Valor Contábil Total]]&gt;Tabela1[[#This Row],[Valor total de Reposição]],Tabela1[[#This Row],[Valor Contábil Total]],Tabela1[[#This Row],[Valor total de Reposição]])</f>
        <v>35166.35</v>
      </c>
      <c r="T119" s="7">
        <v>1054.9905000000001</v>
      </c>
      <c r="U119" s="7">
        <f>Tabela1[[#This Row],[VMA - Unitário]]*Tabela1[[#This Row],[Quantidade]]</f>
        <v>9494.9145000000008</v>
      </c>
      <c r="V119" s="48">
        <f>INDEX(ResumoLotesSUPERBID[VMA Total do Lote],MATCH(Tabela1[[#This Row],[Lote]],ResumoLotesSUPERBID[LOTES],0))</f>
        <v>188702.06634000002</v>
      </c>
      <c r="W119" s="57">
        <f>Tabela1[[#This Row],[VMA - Total]]/Tabela1[[#This Row],[VMA total do Lote]]</f>
        <v>5.0316960932967385E-2</v>
      </c>
      <c r="X119" t="s">
        <v>392</v>
      </c>
      <c r="Y119" t="s">
        <v>393</v>
      </c>
      <c r="Z119" s="55" t="str">
        <f>Tabela1[[#This Row],[Material]]&amp;"-"&amp;Tabela1[[#This Row],[Centro
Origem]]&amp;"-"&amp;Tabela1[[#This Row],[Depósito]]&amp;"-"&amp;Tabela1[[#This Row],[Tipo de Avaliação]]&amp;"-"&amp;Tabela1[[#This Row],[Elemento PEP]]</f>
        <v>11324063-4419-JI01-IMOB/NAC-</v>
      </c>
      <c r="AA119" s="58" t="str">
        <f>INDEX(ResumoLotesSUPERBID[Sugestão],MATCH(Tabela1[[#This Row],[Lote]],ResumoLotesSUPERBID[LOTES],0))</f>
        <v>Para Leilão</v>
      </c>
      <c r="AB119" s="56">
        <f>INDEX(ResumoLotesSUPERBID[VMA / Comparação],MATCH(Tabela1[[#This Row],[Lote]],ResumoLotesSUPERBID[LOTES],0))</f>
        <v>0.26620207930466694</v>
      </c>
      <c r="AC119" s="59" t="str">
        <f>INDEX(ResumoLotesSUPERBID[Descrição],MATCH(Tabela1[[#This Row],[Lote]],ResumoLotesSUPERBID[LOTES],0))</f>
        <v>1% do Valor de Comparação do VMA</v>
      </c>
    </row>
    <row r="120" spans="1:29" x14ac:dyDescent="0.25">
      <c r="A120" s="20" t="s">
        <v>281</v>
      </c>
      <c r="B120" t="s">
        <v>47</v>
      </c>
      <c r="D120" s="16" t="s">
        <v>254</v>
      </c>
      <c r="E120" t="s">
        <v>61</v>
      </c>
      <c r="F120" s="22">
        <v>11324094</v>
      </c>
      <c r="G120" t="s">
        <v>282</v>
      </c>
      <c r="H120" s="6">
        <v>4419</v>
      </c>
      <c r="J120" s="6" t="s">
        <v>386</v>
      </c>
      <c r="K120" t="s">
        <v>385</v>
      </c>
      <c r="M120">
        <v>9</v>
      </c>
      <c r="N120" t="s">
        <v>391</v>
      </c>
      <c r="O120" s="7">
        <v>7562.66</v>
      </c>
      <c r="P120" s="7">
        <f>Tabela1[[#This Row],[Valor Contábil Unitário]]*Tabela1[[#This Row],[Quantidade]]</f>
        <v>68063.94</v>
      </c>
      <c r="Q120" s="7">
        <v>7562.6566666666668</v>
      </c>
      <c r="R120" s="7">
        <f>Tabela1[[#This Row],[Valor de Reposição Unitário]]*Tabela1[[#This Row],[Quantidade]]</f>
        <v>68063.91</v>
      </c>
      <c r="S120" s="48">
        <f>IF(Tabela1[[#This Row],[Valor Contábil Total]]&gt;Tabela1[[#This Row],[Valor total de Reposição]],Tabela1[[#This Row],[Valor Contábil Total]],Tabela1[[#This Row],[Valor total de Reposição]])</f>
        <v>68063.94</v>
      </c>
      <c r="T120" s="7">
        <v>2041.9173000000001</v>
      </c>
      <c r="U120" s="7">
        <f>Tabela1[[#This Row],[VMA - Unitário]]*Tabela1[[#This Row],[Quantidade]]</f>
        <v>18377.255700000002</v>
      </c>
      <c r="V120" s="48">
        <f>INDEX(ResumoLotesSUPERBID[VMA Total do Lote],MATCH(Tabela1[[#This Row],[Lote]],ResumoLotesSUPERBID[LOTES],0))</f>
        <v>188702.06634000002</v>
      </c>
      <c r="W120" s="57">
        <f>Tabela1[[#This Row],[VMA - Total]]/Tabela1[[#This Row],[VMA total do Lote]]</f>
        <v>9.7387676014570976E-2</v>
      </c>
      <c r="X120" t="s">
        <v>392</v>
      </c>
      <c r="Y120" t="s">
        <v>393</v>
      </c>
      <c r="Z120" s="55" t="str">
        <f>Tabela1[[#This Row],[Material]]&amp;"-"&amp;Tabela1[[#This Row],[Centro
Origem]]&amp;"-"&amp;Tabela1[[#This Row],[Depósito]]&amp;"-"&amp;Tabela1[[#This Row],[Tipo de Avaliação]]&amp;"-"&amp;Tabela1[[#This Row],[Elemento PEP]]</f>
        <v>11324094-4419-JI01-IMOB/NAC-</v>
      </c>
      <c r="AA120" s="58" t="str">
        <f>INDEX(ResumoLotesSUPERBID[Sugestão],MATCH(Tabela1[[#This Row],[Lote]],ResumoLotesSUPERBID[LOTES],0))</f>
        <v>Para Leilão</v>
      </c>
      <c r="AB120" s="56">
        <f>INDEX(ResumoLotesSUPERBID[VMA / Comparação],MATCH(Tabela1[[#This Row],[Lote]],ResumoLotesSUPERBID[LOTES],0))</f>
        <v>0.26620207930466694</v>
      </c>
      <c r="AC120" s="59" t="str">
        <f>INDEX(ResumoLotesSUPERBID[Descrição],MATCH(Tabela1[[#This Row],[Lote]],ResumoLotesSUPERBID[LOTES],0))</f>
        <v>1% do Valor de Comparação do VMA</v>
      </c>
    </row>
    <row r="121" spans="1:29" x14ac:dyDescent="0.25">
      <c r="A121" s="20" t="s">
        <v>283</v>
      </c>
      <c r="B121" t="s">
        <v>47</v>
      </c>
      <c r="D121" s="16" t="s">
        <v>254</v>
      </c>
      <c r="E121" t="s">
        <v>61</v>
      </c>
      <c r="F121" s="22">
        <v>11413639</v>
      </c>
      <c r="G121" t="s">
        <v>284</v>
      </c>
      <c r="H121" s="6">
        <v>4419</v>
      </c>
      <c r="J121" s="6" t="s">
        <v>386</v>
      </c>
      <c r="K121" t="s">
        <v>385</v>
      </c>
      <c r="M121">
        <v>2</v>
      </c>
      <c r="N121" t="s">
        <v>391</v>
      </c>
      <c r="O121" s="7">
        <v>5767.83</v>
      </c>
      <c r="P121" s="7">
        <f>Tabela1[[#This Row],[Valor Contábil Unitário]]*Tabela1[[#This Row],[Quantidade]]</f>
        <v>11535.66</v>
      </c>
      <c r="Q121" s="7">
        <v>5767.8249999999998</v>
      </c>
      <c r="R121" s="7">
        <f>Tabela1[[#This Row],[Valor de Reposição Unitário]]*Tabela1[[#This Row],[Quantidade]]</f>
        <v>11535.65</v>
      </c>
      <c r="S121" s="48">
        <f>IF(Tabela1[[#This Row],[Valor Contábil Total]]&gt;Tabela1[[#This Row],[Valor total de Reposição]],Tabela1[[#This Row],[Valor Contábil Total]],Tabela1[[#This Row],[Valor total de Reposição]])</f>
        <v>11535.66</v>
      </c>
      <c r="T121" s="7">
        <v>1557.3127500000001</v>
      </c>
      <c r="U121" s="7">
        <f>Tabela1[[#This Row],[VMA - Unitário]]*Tabela1[[#This Row],[Quantidade]]</f>
        <v>3114.6255000000001</v>
      </c>
      <c r="V121" s="48">
        <f>INDEX(ResumoLotesSUPERBID[VMA Total do Lote],MATCH(Tabela1[[#This Row],[Lote]],ResumoLotesSUPERBID[LOTES],0))</f>
        <v>188702.06634000002</v>
      </c>
      <c r="W121" s="57">
        <f>Tabela1[[#This Row],[VMA - Total]]/Tabela1[[#This Row],[VMA total do Lote]]</f>
        <v>1.6505518781061587E-2</v>
      </c>
      <c r="X121" t="s">
        <v>392</v>
      </c>
      <c r="Y121" t="s">
        <v>393</v>
      </c>
      <c r="Z121" s="55" t="str">
        <f>Tabela1[[#This Row],[Material]]&amp;"-"&amp;Tabela1[[#This Row],[Centro
Origem]]&amp;"-"&amp;Tabela1[[#This Row],[Depósito]]&amp;"-"&amp;Tabela1[[#This Row],[Tipo de Avaliação]]&amp;"-"&amp;Tabela1[[#This Row],[Elemento PEP]]</f>
        <v>11413639-4419-JI01-IMOB/NAC-</v>
      </c>
      <c r="AA121" s="58" t="str">
        <f>INDEX(ResumoLotesSUPERBID[Sugestão],MATCH(Tabela1[[#This Row],[Lote]],ResumoLotesSUPERBID[LOTES],0))</f>
        <v>Para Leilão</v>
      </c>
      <c r="AB121" s="56">
        <f>INDEX(ResumoLotesSUPERBID[VMA / Comparação],MATCH(Tabela1[[#This Row],[Lote]],ResumoLotesSUPERBID[LOTES],0))</f>
        <v>0.26620207930466694</v>
      </c>
      <c r="AC121" s="59" t="str">
        <f>INDEX(ResumoLotesSUPERBID[Descrição],MATCH(Tabela1[[#This Row],[Lote]],ResumoLotesSUPERBID[LOTES],0))</f>
        <v>1% do Valor de Comparação do VMA</v>
      </c>
    </row>
    <row r="122" spans="1:29" x14ac:dyDescent="0.25">
      <c r="A122" s="20" t="s">
        <v>285</v>
      </c>
      <c r="B122" t="s">
        <v>47</v>
      </c>
      <c r="D122" s="16" t="s">
        <v>254</v>
      </c>
      <c r="E122" t="s">
        <v>61</v>
      </c>
      <c r="F122" s="22">
        <v>11413640</v>
      </c>
      <c r="G122" t="s">
        <v>286</v>
      </c>
      <c r="H122" s="6">
        <v>4419</v>
      </c>
      <c r="J122" s="6" t="s">
        <v>386</v>
      </c>
      <c r="K122" t="s">
        <v>385</v>
      </c>
      <c r="M122">
        <v>3</v>
      </c>
      <c r="N122" t="s">
        <v>391</v>
      </c>
      <c r="O122" s="7">
        <v>7976.78</v>
      </c>
      <c r="P122" s="7">
        <f>Tabela1[[#This Row],[Valor Contábil Unitário]]*Tabela1[[#This Row],[Quantidade]]</f>
        <v>23930.34</v>
      </c>
      <c r="Q122" s="7">
        <v>7976.78</v>
      </c>
      <c r="R122" s="7">
        <f>Tabela1[[#This Row],[Valor de Reposição Unitário]]*Tabela1[[#This Row],[Quantidade]]</f>
        <v>23930.34</v>
      </c>
      <c r="S122" s="48">
        <f>IF(Tabela1[[#This Row],[Valor Contábil Total]]&gt;Tabela1[[#This Row],[Valor total de Reposição]],Tabela1[[#This Row],[Valor Contábil Total]],Tabela1[[#This Row],[Valor total de Reposição]])</f>
        <v>23930.34</v>
      </c>
      <c r="T122" s="7">
        <v>1256.34285</v>
      </c>
      <c r="U122" s="7">
        <f>Tabela1[[#This Row],[VMA - Unitário]]*Tabela1[[#This Row],[Quantidade]]</f>
        <v>3769.02855</v>
      </c>
      <c r="V122" s="48">
        <f>INDEX(ResumoLotesSUPERBID[VMA Total do Lote],MATCH(Tabela1[[#This Row],[Lote]],ResumoLotesSUPERBID[LOTES],0))</f>
        <v>188702.06634000002</v>
      </c>
      <c r="W122" s="57">
        <f>Tabela1[[#This Row],[VMA - Total]]/Tabela1[[#This Row],[VMA total do Lote]]</f>
        <v>1.9973435495979314E-2</v>
      </c>
      <c r="X122" t="s">
        <v>392</v>
      </c>
      <c r="Y122" t="s">
        <v>393</v>
      </c>
      <c r="Z122" s="55" t="str">
        <f>Tabela1[[#This Row],[Material]]&amp;"-"&amp;Tabela1[[#This Row],[Centro
Origem]]&amp;"-"&amp;Tabela1[[#This Row],[Depósito]]&amp;"-"&amp;Tabela1[[#This Row],[Tipo de Avaliação]]&amp;"-"&amp;Tabela1[[#This Row],[Elemento PEP]]</f>
        <v>11413640-4419-JI01-IMOB/NAC-</v>
      </c>
      <c r="AA122" s="58" t="str">
        <f>INDEX(ResumoLotesSUPERBID[Sugestão],MATCH(Tabela1[[#This Row],[Lote]],ResumoLotesSUPERBID[LOTES],0))</f>
        <v>Para Leilão</v>
      </c>
      <c r="AB122" s="56">
        <f>INDEX(ResumoLotesSUPERBID[VMA / Comparação],MATCH(Tabela1[[#This Row],[Lote]],ResumoLotesSUPERBID[LOTES],0))</f>
        <v>0.26620207930466694</v>
      </c>
      <c r="AC122" s="59" t="str">
        <f>INDEX(ResumoLotesSUPERBID[Descrição],MATCH(Tabela1[[#This Row],[Lote]],ResumoLotesSUPERBID[LOTES],0))</f>
        <v>1% do Valor de Comparação do VMA</v>
      </c>
    </row>
    <row r="123" spans="1:29" x14ac:dyDescent="0.25">
      <c r="A123" s="20" t="s">
        <v>287</v>
      </c>
      <c r="B123" t="s">
        <v>47</v>
      </c>
      <c r="D123" s="16" t="s">
        <v>254</v>
      </c>
      <c r="E123" t="s">
        <v>61</v>
      </c>
      <c r="F123" s="22">
        <v>11429600</v>
      </c>
      <c r="G123" t="s">
        <v>288</v>
      </c>
      <c r="H123" s="6">
        <v>4419</v>
      </c>
      <c r="J123" s="6" t="s">
        <v>386</v>
      </c>
      <c r="K123" t="s">
        <v>390</v>
      </c>
      <c r="M123">
        <v>11</v>
      </c>
      <c r="N123" t="s">
        <v>391</v>
      </c>
      <c r="O123" s="7">
        <v>18436.060000000001</v>
      </c>
      <c r="P123" s="7">
        <f>Tabela1[[#This Row],[Valor Contábil Unitário]]*Tabela1[[#This Row],[Quantidade]]</f>
        <v>202796.66</v>
      </c>
      <c r="Q123" s="7">
        <v>18436.062727272729</v>
      </c>
      <c r="R123" s="7">
        <f>Tabela1[[#This Row],[Valor de Reposição Unitário]]*Tabela1[[#This Row],[Quantidade]]</f>
        <v>202796.69</v>
      </c>
      <c r="S123" s="48">
        <f>IF(Tabela1[[#This Row],[Valor Contábil Total]]&gt;Tabela1[[#This Row],[Valor total de Reposição]],Tabela1[[#This Row],[Valor Contábil Total]],Tabela1[[#This Row],[Valor total de Reposição]])</f>
        <v>202796.69</v>
      </c>
      <c r="T123" s="7">
        <v>4977.7369363636371</v>
      </c>
      <c r="U123" s="7">
        <f>Tabela1[[#This Row],[VMA - Unitário]]*Tabela1[[#This Row],[Quantidade]]</f>
        <v>54755.106300000007</v>
      </c>
      <c r="V123" s="48">
        <f>INDEX(ResumoLotesSUPERBID[VMA Total do Lote],MATCH(Tabela1[[#This Row],[Lote]],ResumoLotesSUPERBID[LOTES],0))</f>
        <v>188702.06634000002</v>
      </c>
      <c r="W123" s="57">
        <f>Tabela1[[#This Row],[VMA - Total]]/Tabela1[[#This Row],[VMA total do Lote]]</f>
        <v>0.29016696723046598</v>
      </c>
      <c r="X123" t="s">
        <v>392</v>
      </c>
      <c r="Y123" t="s">
        <v>393</v>
      </c>
      <c r="Z123" s="55" t="str">
        <f>Tabela1[[#This Row],[Material]]&amp;"-"&amp;Tabela1[[#This Row],[Centro
Origem]]&amp;"-"&amp;Tabela1[[#This Row],[Depósito]]&amp;"-"&amp;Tabela1[[#This Row],[Tipo de Avaliação]]&amp;"-"&amp;Tabela1[[#This Row],[Elemento PEP]]</f>
        <v>11429600-4419-JI01-IMOB/NAC3-</v>
      </c>
      <c r="AA123" s="58" t="str">
        <f>INDEX(ResumoLotesSUPERBID[Sugestão],MATCH(Tabela1[[#This Row],[Lote]],ResumoLotesSUPERBID[LOTES],0))</f>
        <v>Para Leilão</v>
      </c>
      <c r="AB123" s="56">
        <f>INDEX(ResumoLotesSUPERBID[VMA / Comparação],MATCH(Tabela1[[#This Row],[Lote]],ResumoLotesSUPERBID[LOTES],0))</f>
        <v>0.26620207930466694</v>
      </c>
      <c r="AC123" s="59" t="str">
        <f>INDEX(ResumoLotesSUPERBID[Descrição],MATCH(Tabela1[[#This Row],[Lote]],ResumoLotesSUPERBID[LOTES],0))</f>
        <v>1% do Valor de Comparação do VMA</v>
      </c>
    </row>
    <row r="124" spans="1:29" x14ac:dyDescent="0.25">
      <c r="A124" s="20" t="s">
        <v>289</v>
      </c>
      <c r="B124" t="s">
        <v>47</v>
      </c>
      <c r="D124" s="16" t="s">
        <v>290</v>
      </c>
      <c r="E124" t="s">
        <v>61</v>
      </c>
      <c r="F124" s="22">
        <v>11012035</v>
      </c>
      <c r="G124" t="s">
        <v>291</v>
      </c>
      <c r="H124" s="6">
        <v>4419</v>
      </c>
      <c r="J124" s="6" t="s">
        <v>386</v>
      </c>
      <c r="K124" t="s">
        <v>385</v>
      </c>
      <c r="M124">
        <v>1</v>
      </c>
      <c r="N124" t="s">
        <v>391</v>
      </c>
      <c r="O124" s="7">
        <v>1230.81</v>
      </c>
      <c r="P124" s="7">
        <f>Tabela1[[#This Row],[Valor Contábil Unitário]]*Tabela1[[#This Row],[Quantidade]]</f>
        <v>1230.81</v>
      </c>
      <c r="Q124" s="7">
        <v>1230.81</v>
      </c>
      <c r="R124" s="7">
        <f>Tabela1[[#This Row],[Valor de Reposição Unitário]]*Tabela1[[#This Row],[Quantidade]]</f>
        <v>1230.81</v>
      </c>
      <c r="S124" s="48">
        <f>IF(Tabela1[[#This Row],[Valor Contábil Total]]&gt;Tabela1[[#This Row],[Valor total de Reposição]],Tabela1[[#This Row],[Valor Contábil Total]],Tabela1[[#This Row],[Valor total de Reposição]])</f>
        <v>1230.81</v>
      </c>
      <c r="T124" s="7">
        <v>332.31870000000004</v>
      </c>
      <c r="U124" s="7">
        <f>Tabela1[[#This Row],[VMA - Unitário]]*Tabela1[[#This Row],[Quantidade]]</f>
        <v>332.31870000000004</v>
      </c>
      <c r="V124" s="48">
        <f>INDEX(ResumoLotesSUPERBID[VMA Total do Lote],MATCH(Tabela1[[#This Row],[Lote]],ResumoLotesSUPERBID[LOTES],0))</f>
        <v>628472.51433000015</v>
      </c>
      <c r="W124" s="57">
        <f>Tabela1[[#This Row],[VMA - Total]]/Tabela1[[#This Row],[VMA total do Lote]]</f>
        <v>5.2877205036448922E-4</v>
      </c>
      <c r="X124" t="s">
        <v>392</v>
      </c>
      <c r="Y124" t="s">
        <v>393</v>
      </c>
      <c r="Z124" s="55" t="str">
        <f>Tabela1[[#This Row],[Material]]&amp;"-"&amp;Tabela1[[#This Row],[Centro
Origem]]&amp;"-"&amp;Tabela1[[#This Row],[Depósito]]&amp;"-"&amp;Tabela1[[#This Row],[Tipo de Avaliação]]&amp;"-"&amp;Tabela1[[#This Row],[Elemento PEP]]</f>
        <v>11012035-4419-JI01-IMOB/NAC-</v>
      </c>
      <c r="AA124" s="58" t="str">
        <f>INDEX(ResumoLotesSUPERBID[Sugestão],MATCH(Tabela1[[#This Row],[Lote]],ResumoLotesSUPERBID[LOTES],0))</f>
        <v>Para Leilão</v>
      </c>
      <c r="AB124" s="56">
        <f>INDEX(ResumoLotesSUPERBID[VMA / Comparação],MATCH(Tabela1[[#This Row],[Lote]],ResumoLotesSUPERBID[LOTES],0))</f>
        <v>0.30692589976744977</v>
      </c>
      <c r="AC124" s="59" t="str">
        <f>INDEX(ResumoLotesSUPERBID[Descrição],MATCH(Tabela1[[#This Row],[Lote]],ResumoLotesSUPERBID[LOTES],0))</f>
        <v>1% do Valor de Comparação do VMA</v>
      </c>
    </row>
    <row r="125" spans="1:29" x14ac:dyDescent="0.25">
      <c r="A125" s="20" t="s">
        <v>292</v>
      </c>
      <c r="B125" t="s">
        <v>47</v>
      </c>
      <c r="D125" s="16" t="s">
        <v>290</v>
      </c>
      <c r="E125" t="s">
        <v>61</v>
      </c>
      <c r="F125" s="22">
        <v>11012121</v>
      </c>
      <c r="G125" t="s">
        <v>293</v>
      </c>
      <c r="H125" s="6">
        <v>4419</v>
      </c>
      <c r="J125" s="6" t="s">
        <v>386</v>
      </c>
      <c r="K125" t="s">
        <v>385</v>
      </c>
      <c r="M125">
        <v>1</v>
      </c>
      <c r="N125" t="s">
        <v>391</v>
      </c>
      <c r="O125" s="7">
        <v>1468.34</v>
      </c>
      <c r="P125" s="7">
        <f>Tabela1[[#This Row],[Valor Contábil Unitário]]*Tabela1[[#This Row],[Quantidade]]</f>
        <v>1468.34</v>
      </c>
      <c r="Q125" s="7">
        <v>1468.34</v>
      </c>
      <c r="R125" s="7">
        <f>Tabela1[[#This Row],[Valor de Reposição Unitário]]*Tabela1[[#This Row],[Quantidade]]</f>
        <v>1468.34</v>
      </c>
      <c r="S125" s="48">
        <f>IF(Tabela1[[#This Row],[Valor Contábil Total]]&gt;Tabela1[[#This Row],[Valor total de Reposição]],Tabela1[[#This Row],[Valor Contábil Total]],Tabela1[[#This Row],[Valor total de Reposição]])</f>
        <v>1468.34</v>
      </c>
      <c r="T125" s="7">
        <v>396.45179999999999</v>
      </c>
      <c r="U125" s="7">
        <f>Tabela1[[#This Row],[VMA - Unitário]]*Tabela1[[#This Row],[Quantidade]]</f>
        <v>396.45179999999999</v>
      </c>
      <c r="V125" s="48">
        <f>INDEX(ResumoLotesSUPERBID[VMA Total do Lote],MATCH(Tabela1[[#This Row],[Lote]],ResumoLotesSUPERBID[LOTES],0))</f>
        <v>628472.51433000015</v>
      </c>
      <c r="W125" s="57">
        <f>Tabela1[[#This Row],[VMA - Total]]/Tabela1[[#This Row],[VMA total do Lote]]</f>
        <v>6.30818040503566E-4</v>
      </c>
      <c r="X125" t="s">
        <v>392</v>
      </c>
      <c r="Y125" t="s">
        <v>393</v>
      </c>
      <c r="Z125" s="55" t="str">
        <f>Tabela1[[#This Row],[Material]]&amp;"-"&amp;Tabela1[[#This Row],[Centro
Origem]]&amp;"-"&amp;Tabela1[[#This Row],[Depósito]]&amp;"-"&amp;Tabela1[[#This Row],[Tipo de Avaliação]]&amp;"-"&amp;Tabela1[[#This Row],[Elemento PEP]]</f>
        <v>11012121-4419-JI01-IMOB/NAC-</v>
      </c>
      <c r="AA125" s="58" t="str">
        <f>INDEX(ResumoLotesSUPERBID[Sugestão],MATCH(Tabela1[[#This Row],[Lote]],ResumoLotesSUPERBID[LOTES],0))</f>
        <v>Para Leilão</v>
      </c>
      <c r="AB125" s="56">
        <f>INDEX(ResumoLotesSUPERBID[VMA / Comparação],MATCH(Tabela1[[#This Row],[Lote]],ResumoLotesSUPERBID[LOTES],0))</f>
        <v>0.30692589976744977</v>
      </c>
      <c r="AC125" s="59" t="str">
        <f>INDEX(ResumoLotesSUPERBID[Descrição],MATCH(Tabela1[[#This Row],[Lote]],ResumoLotesSUPERBID[LOTES],0))</f>
        <v>1% do Valor de Comparação do VMA</v>
      </c>
    </row>
    <row r="126" spans="1:29" x14ac:dyDescent="0.25">
      <c r="A126" s="20" t="s">
        <v>294</v>
      </c>
      <c r="B126" t="s">
        <v>47</v>
      </c>
      <c r="D126" s="16" t="s">
        <v>290</v>
      </c>
      <c r="E126" t="s">
        <v>61</v>
      </c>
      <c r="F126" s="22">
        <v>11012148</v>
      </c>
      <c r="G126" t="s">
        <v>295</v>
      </c>
      <c r="H126" s="6">
        <v>4419</v>
      </c>
      <c r="J126" s="6" t="s">
        <v>386</v>
      </c>
      <c r="K126" t="s">
        <v>385</v>
      </c>
      <c r="M126">
        <v>1</v>
      </c>
      <c r="N126" t="s">
        <v>391</v>
      </c>
      <c r="O126" s="7">
        <v>21963.86</v>
      </c>
      <c r="P126" s="7">
        <f>Tabela1[[#This Row],[Valor Contábil Unitário]]*Tabela1[[#This Row],[Quantidade]]</f>
        <v>21963.86</v>
      </c>
      <c r="Q126" s="7">
        <v>21963.86</v>
      </c>
      <c r="R126" s="7">
        <f>Tabela1[[#This Row],[Valor de Reposição Unitário]]*Tabela1[[#This Row],[Quantidade]]</f>
        <v>21963.86</v>
      </c>
      <c r="S126" s="48">
        <f>IF(Tabela1[[#This Row],[Valor Contábil Total]]&gt;Tabela1[[#This Row],[Valor total de Reposição]],Tabela1[[#This Row],[Valor Contábil Total]],Tabela1[[#This Row],[Valor total de Reposição]])</f>
        <v>21963.86</v>
      </c>
      <c r="T126" s="7">
        <v>5930.2422000000006</v>
      </c>
      <c r="U126" s="7">
        <f>Tabela1[[#This Row],[VMA - Unitário]]*Tabela1[[#This Row],[Quantidade]]</f>
        <v>5930.2422000000006</v>
      </c>
      <c r="V126" s="48">
        <f>INDEX(ResumoLotesSUPERBID[VMA Total do Lote],MATCH(Tabela1[[#This Row],[Lote]],ResumoLotesSUPERBID[LOTES],0))</f>
        <v>628472.51433000015</v>
      </c>
      <c r="W126" s="57">
        <f>Tabela1[[#This Row],[VMA - Total]]/Tabela1[[#This Row],[VMA total do Lote]]</f>
        <v>9.4359611037597938E-3</v>
      </c>
      <c r="X126" t="s">
        <v>392</v>
      </c>
      <c r="Y126" t="s">
        <v>393</v>
      </c>
      <c r="Z126" s="55" t="str">
        <f>Tabela1[[#This Row],[Material]]&amp;"-"&amp;Tabela1[[#This Row],[Centro
Origem]]&amp;"-"&amp;Tabela1[[#This Row],[Depósito]]&amp;"-"&amp;Tabela1[[#This Row],[Tipo de Avaliação]]&amp;"-"&amp;Tabela1[[#This Row],[Elemento PEP]]</f>
        <v>11012148-4419-JI01-IMOB/NAC-</v>
      </c>
      <c r="AA126" s="58" t="str">
        <f>INDEX(ResumoLotesSUPERBID[Sugestão],MATCH(Tabela1[[#This Row],[Lote]],ResumoLotesSUPERBID[LOTES],0))</f>
        <v>Para Leilão</v>
      </c>
      <c r="AB126" s="56">
        <f>INDEX(ResumoLotesSUPERBID[VMA / Comparação],MATCH(Tabela1[[#This Row],[Lote]],ResumoLotesSUPERBID[LOTES],0))</f>
        <v>0.30692589976744977</v>
      </c>
      <c r="AC126" s="59" t="str">
        <f>INDEX(ResumoLotesSUPERBID[Descrição],MATCH(Tabela1[[#This Row],[Lote]],ResumoLotesSUPERBID[LOTES],0))</f>
        <v>1% do Valor de Comparação do VMA</v>
      </c>
    </row>
    <row r="127" spans="1:29" x14ac:dyDescent="0.25">
      <c r="A127" s="20" t="s">
        <v>296</v>
      </c>
      <c r="B127" t="s">
        <v>47</v>
      </c>
      <c r="D127" s="16" t="s">
        <v>290</v>
      </c>
      <c r="E127" t="s">
        <v>61</v>
      </c>
      <c r="F127" s="22">
        <v>11012150</v>
      </c>
      <c r="G127" t="s">
        <v>297</v>
      </c>
      <c r="H127" s="6">
        <v>4419</v>
      </c>
      <c r="J127" s="6" t="s">
        <v>386</v>
      </c>
      <c r="K127" t="s">
        <v>385</v>
      </c>
      <c r="M127">
        <v>1</v>
      </c>
      <c r="N127" t="s">
        <v>391</v>
      </c>
      <c r="O127" s="7">
        <v>12994.84</v>
      </c>
      <c r="P127" s="7">
        <f>Tabela1[[#This Row],[Valor Contábil Unitário]]*Tabela1[[#This Row],[Quantidade]]</f>
        <v>12994.84</v>
      </c>
      <c r="Q127" s="7">
        <v>12994.84</v>
      </c>
      <c r="R127" s="7">
        <f>Tabela1[[#This Row],[Valor de Reposição Unitário]]*Tabela1[[#This Row],[Quantidade]]</f>
        <v>12994.84</v>
      </c>
      <c r="S127" s="48">
        <f>IF(Tabela1[[#This Row],[Valor Contábil Total]]&gt;Tabela1[[#This Row],[Valor total de Reposição]],Tabela1[[#This Row],[Valor Contábil Total]],Tabela1[[#This Row],[Valor total de Reposição]])</f>
        <v>12994.84</v>
      </c>
      <c r="T127" s="7">
        <v>3508.6068000000005</v>
      </c>
      <c r="U127" s="7">
        <f>Tabela1[[#This Row],[VMA - Unitário]]*Tabela1[[#This Row],[Quantidade]]</f>
        <v>3508.6068000000005</v>
      </c>
      <c r="V127" s="48">
        <f>INDEX(ResumoLotesSUPERBID[VMA Total do Lote],MATCH(Tabela1[[#This Row],[Lote]],ResumoLotesSUPERBID[LOTES],0))</f>
        <v>628472.51433000015</v>
      </c>
      <c r="W127" s="57">
        <f>Tabela1[[#This Row],[VMA - Total]]/Tabela1[[#This Row],[VMA total do Lote]]</f>
        <v>5.5827529764614194E-3</v>
      </c>
      <c r="X127" t="s">
        <v>392</v>
      </c>
      <c r="Y127" t="s">
        <v>393</v>
      </c>
      <c r="Z127" s="55" t="str">
        <f>Tabela1[[#This Row],[Material]]&amp;"-"&amp;Tabela1[[#This Row],[Centro
Origem]]&amp;"-"&amp;Tabela1[[#This Row],[Depósito]]&amp;"-"&amp;Tabela1[[#This Row],[Tipo de Avaliação]]&amp;"-"&amp;Tabela1[[#This Row],[Elemento PEP]]</f>
        <v>11012150-4419-JI01-IMOB/NAC-</v>
      </c>
      <c r="AA127" s="58" t="str">
        <f>INDEX(ResumoLotesSUPERBID[Sugestão],MATCH(Tabela1[[#This Row],[Lote]],ResumoLotesSUPERBID[LOTES],0))</f>
        <v>Para Leilão</v>
      </c>
      <c r="AB127" s="56">
        <f>INDEX(ResumoLotesSUPERBID[VMA / Comparação],MATCH(Tabela1[[#This Row],[Lote]],ResumoLotesSUPERBID[LOTES],0))</f>
        <v>0.30692589976744977</v>
      </c>
      <c r="AC127" s="59" t="str">
        <f>INDEX(ResumoLotesSUPERBID[Descrição],MATCH(Tabela1[[#This Row],[Lote]],ResumoLotesSUPERBID[LOTES],0))</f>
        <v>1% do Valor de Comparação do VMA</v>
      </c>
    </row>
    <row r="128" spans="1:29" x14ac:dyDescent="0.25">
      <c r="A128" s="20" t="s">
        <v>298</v>
      </c>
      <c r="B128" t="s">
        <v>47</v>
      </c>
      <c r="D128" s="16" t="s">
        <v>290</v>
      </c>
      <c r="E128" t="s">
        <v>61</v>
      </c>
      <c r="F128" s="22">
        <v>11830908</v>
      </c>
      <c r="G128" t="s">
        <v>299</v>
      </c>
      <c r="H128" s="6">
        <v>4419</v>
      </c>
      <c r="J128" s="6" t="s">
        <v>386</v>
      </c>
      <c r="K128" t="s">
        <v>385</v>
      </c>
      <c r="M128">
        <v>2</v>
      </c>
      <c r="N128" t="s">
        <v>391</v>
      </c>
      <c r="O128" s="7">
        <v>210757.59</v>
      </c>
      <c r="P128" s="7">
        <f>Tabela1[[#This Row],[Valor Contábil Unitário]]*Tabela1[[#This Row],[Quantidade]]</f>
        <v>421515.18</v>
      </c>
      <c r="Q128" s="7">
        <v>210757.58499999999</v>
      </c>
      <c r="R128" s="7">
        <f>Tabela1[[#This Row],[Valor de Reposição Unitário]]*Tabela1[[#This Row],[Quantidade]]</f>
        <v>421515.17</v>
      </c>
      <c r="S128" s="48">
        <f>IF(Tabela1[[#This Row],[Valor Contábil Total]]&gt;Tabela1[[#This Row],[Valor total de Reposição]],Tabela1[[#This Row],[Valor Contábil Total]],Tabela1[[#This Row],[Valor total de Reposição]])</f>
        <v>421515.18</v>
      </c>
      <c r="T128" s="7">
        <v>75872.73060000001</v>
      </c>
      <c r="U128" s="7">
        <f>Tabela1[[#This Row],[VMA - Unitário]]*Tabela1[[#This Row],[Quantidade]]</f>
        <v>151745.46120000002</v>
      </c>
      <c r="V128" s="48">
        <f>INDEX(ResumoLotesSUPERBID[VMA Total do Lote],MATCH(Tabela1[[#This Row],[Lote]],ResumoLotesSUPERBID[LOTES],0))</f>
        <v>628472.51433000015</v>
      </c>
      <c r="W128" s="57">
        <f>Tabela1[[#This Row],[VMA - Total]]/Tabela1[[#This Row],[VMA total do Lote]]</f>
        <v>0.24145122935371693</v>
      </c>
      <c r="X128" t="s">
        <v>392</v>
      </c>
      <c r="Y128" t="s">
        <v>393</v>
      </c>
      <c r="Z128" s="55" t="str">
        <f>Tabela1[[#This Row],[Material]]&amp;"-"&amp;Tabela1[[#This Row],[Centro
Origem]]&amp;"-"&amp;Tabela1[[#This Row],[Depósito]]&amp;"-"&amp;Tabela1[[#This Row],[Tipo de Avaliação]]&amp;"-"&amp;Tabela1[[#This Row],[Elemento PEP]]</f>
        <v>11830908-4419-JI01-IMOB/NAC-</v>
      </c>
      <c r="AA128" s="58" t="str">
        <f>INDEX(ResumoLotesSUPERBID[Sugestão],MATCH(Tabela1[[#This Row],[Lote]],ResumoLotesSUPERBID[LOTES],0))</f>
        <v>Para Leilão</v>
      </c>
      <c r="AB128" s="56">
        <f>INDEX(ResumoLotesSUPERBID[VMA / Comparação],MATCH(Tabela1[[#This Row],[Lote]],ResumoLotesSUPERBID[LOTES],0))</f>
        <v>0.30692589976744977</v>
      </c>
      <c r="AC128" s="59" t="str">
        <f>INDEX(ResumoLotesSUPERBID[Descrição],MATCH(Tabela1[[#This Row],[Lote]],ResumoLotesSUPERBID[LOTES],0))</f>
        <v>1% do Valor de Comparação do VMA</v>
      </c>
    </row>
    <row r="129" spans="1:29" x14ac:dyDescent="0.25">
      <c r="A129" s="20" t="s">
        <v>300</v>
      </c>
      <c r="B129" t="s">
        <v>47</v>
      </c>
      <c r="D129" s="16" t="s">
        <v>290</v>
      </c>
      <c r="E129" t="s">
        <v>61</v>
      </c>
      <c r="F129" s="22">
        <v>11012197</v>
      </c>
      <c r="G129" t="s">
        <v>301</v>
      </c>
      <c r="H129" s="6">
        <v>4419</v>
      </c>
      <c r="J129" s="6" t="s">
        <v>386</v>
      </c>
      <c r="K129" t="s">
        <v>385</v>
      </c>
      <c r="M129">
        <v>1</v>
      </c>
      <c r="N129" t="s">
        <v>391</v>
      </c>
      <c r="O129" s="7">
        <v>9431.92</v>
      </c>
      <c r="P129" s="7">
        <f>Tabela1[[#This Row],[Valor Contábil Unitário]]*Tabela1[[#This Row],[Quantidade]]</f>
        <v>9431.92</v>
      </c>
      <c r="Q129" s="7">
        <v>9431.92</v>
      </c>
      <c r="R129" s="7">
        <f>Tabela1[[#This Row],[Valor de Reposição Unitário]]*Tabela1[[#This Row],[Quantidade]]</f>
        <v>9431.92</v>
      </c>
      <c r="S129" s="48">
        <f>IF(Tabela1[[#This Row],[Valor Contábil Total]]&gt;Tabela1[[#This Row],[Valor total de Reposição]],Tabela1[[#This Row],[Valor Contábil Total]],Tabela1[[#This Row],[Valor total de Reposição]])</f>
        <v>9431.92</v>
      </c>
      <c r="T129" s="7">
        <v>2546.6184000000003</v>
      </c>
      <c r="U129" s="7">
        <f>Tabela1[[#This Row],[VMA - Unitário]]*Tabela1[[#This Row],[Quantidade]]</f>
        <v>2546.6184000000003</v>
      </c>
      <c r="V129" s="48">
        <f>INDEX(ResumoLotesSUPERBID[VMA Total do Lote],MATCH(Tabela1[[#This Row],[Lote]],ResumoLotesSUPERBID[LOTES],0))</f>
        <v>628472.51433000015</v>
      </c>
      <c r="W129" s="57">
        <f>Tabela1[[#This Row],[VMA - Total]]/Tabela1[[#This Row],[VMA total do Lote]]</f>
        <v>4.0520760127670669E-3</v>
      </c>
      <c r="X129" t="s">
        <v>392</v>
      </c>
      <c r="Y129" t="s">
        <v>393</v>
      </c>
      <c r="Z129" s="55" t="str">
        <f>Tabela1[[#This Row],[Material]]&amp;"-"&amp;Tabela1[[#This Row],[Centro
Origem]]&amp;"-"&amp;Tabela1[[#This Row],[Depósito]]&amp;"-"&amp;Tabela1[[#This Row],[Tipo de Avaliação]]&amp;"-"&amp;Tabela1[[#This Row],[Elemento PEP]]</f>
        <v>11012197-4419-JI01-IMOB/NAC-</v>
      </c>
      <c r="AA129" s="58" t="str">
        <f>INDEX(ResumoLotesSUPERBID[Sugestão],MATCH(Tabela1[[#This Row],[Lote]],ResumoLotesSUPERBID[LOTES],0))</f>
        <v>Para Leilão</v>
      </c>
      <c r="AB129" s="56">
        <f>INDEX(ResumoLotesSUPERBID[VMA / Comparação],MATCH(Tabela1[[#This Row],[Lote]],ResumoLotesSUPERBID[LOTES],0))</f>
        <v>0.30692589976744977</v>
      </c>
      <c r="AC129" s="59" t="str">
        <f>INDEX(ResumoLotesSUPERBID[Descrição],MATCH(Tabela1[[#This Row],[Lote]],ResumoLotesSUPERBID[LOTES],0))</f>
        <v>1% do Valor de Comparação do VMA</v>
      </c>
    </row>
    <row r="130" spans="1:29" x14ac:dyDescent="0.25">
      <c r="A130" s="20" t="s">
        <v>302</v>
      </c>
      <c r="B130" t="s">
        <v>47</v>
      </c>
      <c r="D130" s="16" t="s">
        <v>290</v>
      </c>
      <c r="E130" t="s">
        <v>61</v>
      </c>
      <c r="F130" s="22">
        <v>11116907</v>
      </c>
      <c r="G130" t="s">
        <v>303</v>
      </c>
      <c r="H130" s="6">
        <v>4419</v>
      </c>
      <c r="J130" s="6" t="s">
        <v>386</v>
      </c>
      <c r="K130" t="s">
        <v>385</v>
      </c>
      <c r="M130">
        <v>2</v>
      </c>
      <c r="N130" t="s">
        <v>391</v>
      </c>
      <c r="O130" s="7">
        <v>6999.6</v>
      </c>
      <c r="P130" s="7">
        <f>Tabela1[[#This Row],[Valor Contábil Unitário]]*Tabela1[[#This Row],[Quantidade]]</f>
        <v>13999.2</v>
      </c>
      <c r="Q130" s="7">
        <v>6999.6</v>
      </c>
      <c r="R130" s="7">
        <f>Tabela1[[#This Row],[Valor de Reposição Unitário]]*Tabela1[[#This Row],[Quantidade]]</f>
        <v>13999.2</v>
      </c>
      <c r="S130" s="48">
        <f>IF(Tabela1[[#This Row],[Valor Contábil Total]]&gt;Tabela1[[#This Row],[Valor total de Reposição]],Tabela1[[#This Row],[Valor Contábil Total]],Tabela1[[#This Row],[Valor total de Reposição]])</f>
        <v>13999.2</v>
      </c>
      <c r="T130" s="7">
        <v>1889.8920000000003</v>
      </c>
      <c r="U130" s="7">
        <f>Tabela1[[#This Row],[VMA - Unitário]]*Tabela1[[#This Row],[Quantidade]]</f>
        <v>3779.7840000000006</v>
      </c>
      <c r="V130" s="48">
        <f>INDEX(ResumoLotesSUPERBID[VMA Total do Lote],MATCH(Tabela1[[#This Row],[Lote]],ResumoLotesSUPERBID[LOTES],0))</f>
        <v>628472.51433000015</v>
      </c>
      <c r="W130" s="57">
        <f>Tabela1[[#This Row],[VMA - Total]]/Tabela1[[#This Row],[VMA total do Lote]]</f>
        <v>6.0142391493915046E-3</v>
      </c>
      <c r="X130" t="s">
        <v>392</v>
      </c>
      <c r="Y130" t="s">
        <v>393</v>
      </c>
      <c r="Z130" s="55" t="str">
        <f>Tabela1[[#This Row],[Material]]&amp;"-"&amp;Tabela1[[#This Row],[Centro
Origem]]&amp;"-"&amp;Tabela1[[#This Row],[Depósito]]&amp;"-"&amp;Tabela1[[#This Row],[Tipo de Avaliação]]&amp;"-"&amp;Tabela1[[#This Row],[Elemento PEP]]</f>
        <v>11116907-4419-JI01-IMOB/NAC-</v>
      </c>
      <c r="AA130" s="58" t="str">
        <f>INDEX(ResumoLotesSUPERBID[Sugestão],MATCH(Tabela1[[#This Row],[Lote]],ResumoLotesSUPERBID[LOTES],0))</f>
        <v>Para Leilão</v>
      </c>
      <c r="AB130" s="56">
        <f>INDEX(ResumoLotesSUPERBID[VMA / Comparação],MATCH(Tabela1[[#This Row],[Lote]],ResumoLotesSUPERBID[LOTES],0))</f>
        <v>0.30692589976744977</v>
      </c>
      <c r="AC130" s="59" t="str">
        <f>INDEX(ResumoLotesSUPERBID[Descrição],MATCH(Tabela1[[#This Row],[Lote]],ResumoLotesSUPERBID[LOTES],0))</f>
        <v>1% do Valor de Comparação do VMA</v>
      </c>
    </row>
    <row r="131" spans="1:29" x14ac:dyDescent="0.25">
      <c r="A131" s="20" t="s">
        <v>304</v>
      </c>
      <c r="B131" t="s">
        <v>47</v>
      </c>
      <c r="D131" s="16" t="s">
        <v>290</v>
      </c>
      <c r="E131" t="s">
        <v>61</v>
      </c>
      <c r="F131" s="22">
        <v>11116923</v>
      </c>
      <c r="G131" t="s">
        <v>305</v>
      </c>
      <c r="H131" s="6">
        <v>4419</v>
      </c>
      <c r="J131" s="6" t="s">
        <v>386</v>
      </c>
      <c r="K131" t="s">
        <v>385</v>
      </c>
      <c r="M131">
        <v>2</v>
      </c>
      <c r="N131" t="s">
        <v>391</v>
      </c>
      <c r="O131" s="7">
        <v>15239.6</v>
      </c>
      <c r="P131" s="7">
        <f>Tabela1[[#This Row],[Valor Contábil Unitário]]*Tabela1[[#This Row],[Quantidade]]</f>
        <v>30479.200000000001</v>
      </c>
      <c r="Q131" s="7">
        <v>15239.594999999999</v>
      </c>
      <c r="R131" s="7">
        <f>Tabela1[[#This Row],[Valor de Reposição Unitário]]*Tabela1[[#This Row],[Quantidade]]</f>
        <v>30479.19</v>
      </c>
      <c r="S131" s="48">
        <f>IF(Tabela1[[#This Row],[Valor Contábil Total]]&gt;Tabela1[[#This Row],[Valor total de Reposição]],Tabela1[[#This Row],[Valor Contábil Total]],Tabela1[[#This Row],[Valor total de Reposição]])</f>
        <v>30479.200000000001</v>
      </c>
      <c r="T131" s="7">
        <v>5486.2542000000003</v>
      </c>
      <c r="U131" s="7">
        <f>Tabela1[[#This Row],[VMA - Unitário]]*Tabela1[[#This Row],[Quantidade]]</f>
        <v>10972.508400000001</v>
      </c>
      <c r="V131" s="48">
        <f>INDEX(ResumoLotesSUPERBID[VMA Total do Lote],MATCH(Tabela1[[#This Row],[Lote]],ResumoLotesSUPERBID[LOTES],0))</f>
        <v>628472.51433000015</v>
      </c>
      <c r="W131" s="57">
        <f>Tabela1[[#This Row],[VMA - Total]]/Tabela1[[#This Row],[VMA total do Lote]]</f>
        <v>1.745901077582929E-2</v>
      </c>
      <c r="X131" t="s">
        <v>392</v>
      </c>
      <c r="Y131" t="s">
        <v>393</v>
      </c>
      <c r="Z131" s="55" t="str">
        <f>Tabela1[[#This Row],[Material]]&amp;"-"&amp;Tabela1[[#This Row],[Centro
Origem]]&amp;"-"&amp;Tabela1[[#This Row],[Depósito]]&amp;"-"&amp;Tabela1[[#This Row],[Tipo de Avaliação]]&amp;"-"&amp;Tabela1[[#This Row],[Elemento PEP]]</f>
        <v>11116923-4419-JI01-IMOB/NAC-</v>
      </c>
      <c r="AA131" s="58" t="str">
        <f>INDEX(ResumoLotesSUPERBID[Sugestão],MATCH(Tabela1[[#This Row],[Lote]],ResumoLotesSUPERBID[LOTES],0))</f>
        <v>Para Leilão</v>
      </c>
      <c r="AB131" s="56">
        <f>INDEX(ResumoLotesSUPERBID[VMA / Comparação],MATCH(Tabela1[[#This Row],[Lote]],ResumoLotesSUPERBID[LOTES],0))</f>
        <v>0.30692589976744977</v>
      </c>
      <c r="AC131" s="59" t="str">
        <f>INDEX(ResumoLotesSUPERBID[Descrição],MATCH(Tabela1[[#This Row],[Lote]],ResumoLotesSUPERBID[LOTES],0))</f>
        <v>1% do Valor de Comparação do VMA</v>
      </c>
    </row>
    <row r="132" spans="1:29" x14ac:dyDescent="0.25">
      <c r="A132" s="20" t="s">
        <v>306</v>
      </c>
      <c r="B132" t="s">
        <v>47</v>
      </c>
      <c r="D132" s="16" t="s">
        <v>290</v>
      </c>
      <c r="E132" t="s">
        <v>61</v>
      </c>
      <c r="F132" s="22">
        <v>11116945</v>
      </c>
      <c r="G132" t="s">
        <v>307</v>
      </c>
      <c r="H132" s="6">
        <v>4419</v>
      </c>
      <c r="J132" s="6" t="s">
        <v>386</v>
      </c>
      <c r="K132" t="s">
        <v>390</v>
      </c>
      <c r="M132">
        <v>13</v>
      </c>
      <c r="N132" t="s">
        <v>391</v>
      </c>
      <c r="O132" s="7">
        <v>1686.32</v>
      </c>
      <c r="P132" s="7">
        <f>Tabela1[[#This Row],[Valor Contábil Unitário]]*Tabela1[[#This Row],[Quantidade]]</f>
        <v>21922.16</v>
      </c>
      <c r="Q132" s="7">
        <v>1686.3223076923075</v>
      </c>
      <c r="R132" s="7">
        <f>Tabela1[[#This Row],[Valor de Reposição Unitário]]*Tabela1[[#This Row],[Quantidade]]</f>
        <v>21922.19</v>
      </c>
      <c r="S132" s="48">
        <f>IF(Tabela1[[#This Row],[Valor Contábil Total]]&gt;Tabela1[[#This Row],[Valor total de Reposição]],Tabela1[[#This Row],[Valor Contábil Total]],Tabela1[[#This Row],[Valor total de Reposição]])</f>
        <v>21922.19</v>
      </c>
      <c r="T132" s="7">
        <v>455.30702307692303</v>
      </c>
      <c r="U132" s="7">
        <f>Tabela1[[#This Row],[VMA - Unitário]]*Tabela1[[#This Row],[Quantidade]]</f>
        <v>5918.9912999999997</v>
      </c>
      <c r="V132" s="48">
        <f>INDEX(ResumoLotesSUPERBID[VMA Total do Lote],MATCH(Tabela1[[#This Row],[Lote]],ResumoLotesSUPERBID[LOTES],0))</f>
        <v>628472.51433000015</v>
      </c>
      <c r="W132" s="57">
        <f>Tabela1[[#This Row],[VMA - Total]]/Tabela1[[#This Row],[VMA total do Lote]]</f>
        <v>9.4180591275500689E-3</v>
      </c>
      <c r="X132" t="s">
        <v>392</v>
      </c>
      <c r="Y132" t="s">
        <v>393</v>
      </c>
      <c r="Z132" s="55" t="str">
        <f>Tabela1[[#This Row],[Material]]&amp;"-"&amp;Tabela1[[#This Row],[Centro
Origem]]&amp;"-"&amp;Tabela1[[#This Row],[Depósito]]&amp;"-"&amp;Tabela1[[#This Row],[Tipo de Avaliação]]&amp;"-"&amp;Tabela1[[#This Row],[Elemento PEP]]</f>
        <v>11116945-4419-JI01-IMOB/NAC3-</v>
      </c>
      <c r="AA132" s="58" t="str">
        <f>INDEX(ResumoLotesSUPERBID[Sugestão],MATCH(Tabela1[[#This Row],[Lote]],ResumoLotesSUPERBID[LOTES],0))</f>
        <v>Para Leilão</v>
      </c>
      <c r="AB132" s="56">
        <f>INDEX(ResumoLotesSUPERBID[VMA / Comparação],MATCH(Tabela1[[#This Row],[Lote]],ResumoLotesSUPERBID[LOTES],0))</f>
        <v>0.30692589976744977</v>
      </c>
      <c r="AC132" s="59" t="str">
        <f>INDEX(ResumoLotesSUPERBID[Descrição],MATCH(Tabela1[[#This Row],[Lote]],ResumoLotesSUPERBID[LOTES],0))</f>
        <v>1% do Valor de Comparação do VMA</v>
      </c>
    </row>
    <row r="133" spans="1:29" x14ac:dyDescent="0.25">
      <c r="A133" s="20" t="s">
        <v>308</v>
      </c>
      <c r="B133" t="s">
        <v>47</v>
      </c>
      <c r="D133" s="16" t="s">
        <v>290</v>
      </c>
      <c r="E133" t="s">
        <v>61</v>
      </c>
      <c r="F133" s="22">
        <v>11117018</v>
      </c>
      <c r="G133" t="s">
        <v>309</v>
      </c>
      <c r="H133" s="6">
        <v>4419</v>
      </c>
      <c r="J133" s="6" t="s">
        <v>386</v>
      </c>
      <c r="K133" t="s">
        <v>385</v>
      </c>
      <c r="M133">
        <v>3</v>
      </c>
      <c r="N133" t="s">
        <v>391</v>
      </c>
      <c r="O133" s="7">
        <v>14983.41</v>
      </c>
      <c r="P133" s="7">
        <f>Tabela1[[#This Row],[Valor Contábil Unitário]]*Tabela1[[#This Row],[Quantidade]]</f>
        <v>44950.229999999996</v>
      </c>
      <c r="Q133" s="7">
        <v>14983.413333333332</v>
      </c>
      <c r="R133" s="7">
        <f>Tabela1[[#This Row],[Valor de Reposição Unitário]]*Tabela1[[#This Row],[Quantidade]]</f>
        <v>44950.239999999998</v>
      </c>
      <c r="S133" s="48">
        <f>IF(Tabela1[[#This Row],[Valor Contábil Total]]&gt;Tabela1[[#This Row],[Valor total de Reposição]],Tabela1[[#This Row],[Valor Contábil Total]],Tabela1[[#This Row],[Valor total de Reposição]])</f>
        <v>44950.239999999998</v>
      </c>
      <c r="T133" s="7">
        <v>4045.5216</v>
      </c>
      <c r="U133" s="7">
        <f>Tabela1[[#This Row],[VMA - Unitário]]*Tabela1[[#This Row],[Quantidade]]</f>
        <v>12136.5648</v>
      </c>
      <c r="V133" s="48">
        <f>INDEX(ResumoLotesSUPERBID[VMA Total do Lote],MATCH(Tabela1[[#This Row],[Lote]],ResumoLotesSUPERBID[LOTES],0))</f>
        <v>628472.51433000015</v>
      </c>
      <c r="W133" s="57">
        <f>Tabela1[[#This Row],[VMA - Total]]/Tabela1[[#This Row],[VMA total do Lote]]</f>
        <v>1.9311210153619061E-2</v>
      </c>
      <c r="X133" t="s">
        <v>392</v>
      </c>
      <c r="Y133" t="s">
        <v>393</v>
      </c>
      <c r="Z133" s="55" t="str">
        <f>Tabela1[[#This Row],[Material]]&amp;"-"&amp;Tabela1[[#This Row],[Centro
Origem]]&amp;"-"&amp;Tabela1[[#This Row],[Depósito]]&amp;"-"&amp;Tabela1[[#This Row],[Tipo de Avaliação]]&amp;"-"&amp;Tabela1[[#This Row],[Elemento PEP]]</f>
        <v>11117018-4419-JI01-IMOB/NAC-</v>
      </c>
      <c r="AA133" s="58" t="str">
        <f>INDEX(ResumoLotesSUPERBID[Sugestão],MATCH(Tabela1[[#This Row],[Lote]],ResumoLotesSUPERBID[LOTES],0))</f>
        <v>Para Leilão</v>
      </c>
      <c r="AB133" s="56">
        <f>INDEX(ResumoLotesSUPERBID[VMA / Comparação],MATCH(Tabela1[[#This Row],[Lote]],ResumoLotesSUPERBID[LOTES],0))</f>
        <v>0.30692589976744977</v>
      </c>
      <c r="AC133" s="59" t="str">
        <f>INDEX(ResumoLotesSUPERBID[Descrição],MATCH(Tabela1[[#This Row],[Lote]],ResumoLotesSUPERBID[LOTES],0))</f>
        <v>1% do Valor de Comparação do VMA</v>
      </c>
    </row>
    <row r="134" spans="1:29" x14ac:dyDescent="0.25">
      <c r="A134" s="20" t="s">
        <v>310</v>
      </c>
      <c r="B134" t="s">
        <v>47</v>
      </c>
      <c r="D134" s="16" t="s">
        <v>290</v>
      </c>
      <c r="E134" t="s">
        <v>61</v>
      </c>
      <c r="F134" s="22">
        <v>11117023</v>
      </c>
      <c r="G134" t="s">
        <v>311</v>
      </c>
      <c r="H134" s="6">
        <v>4419</v>
      </c>
      <c r="J134" s="6" t="s">
        <v>386</v>
      </c>
      <c r="K134" t="s">
        <v>390</v>
      </c>
      <c r="M134">
        <v>18</v>
      </c>
      <c r="N134" t="s">
        <v>391</v>
      </c>
      <c r="O134" s="7">
        <v>3698.35</v>
      </c>
      <c r="P134" s="7">
        <f>Tabela1[[#This Row],[Valor Contábil Unitário]]*Tabela1[[#This Row],[Quantidade]]</f>
        <v>66570.3</v>
      </c>
      <c r="Q134" s="7">
        <v>3698.3538888888888</v>
      </c>
      <c r="R134" s="7">
        <f>Tabela1[[#This Row],[Valor de Reposição Unitário]]*Tabela1[[#This Row],[Quantidade]]</f>
        <v>66570.37</v>
      </c>
      <c r="S134" s="48">
        <f>IF(Tabela1[[#This Row],[Valor Contábil Total]]&gt;Tabela1[[#This Row],[Valor total de Reposição]],Tabela1[[#This Row],[Valor Contábil Total]],Tabela1[[#This Row],[Valor total de Reposição]])</f>
        <v>66570.37</v>
      </c>
      <c r="T134" s="7">
        <v>998.55554999999993</v>
      </c>
      <c r="U134" s="7">
        <f>Tabela1[[#This Row],[VMA - Unitário]]*Tabela1[[#This Row],[Quantidade]]</f>
        <v>17973.999899999999</v>
      </c>
      <c r="V134" s="48">
        <f>INDEX(ResumoLotesSUPERBID[VMA Total do Lote],MATCH(Tabela1[[#This Row],[Lote]],ResumoLotesSUPERBID[LOTES],0))</f>
        <v>628472.51433000015</v>
      </c>
      <c r="W134" s="57">
        <f>Tabela1[[#This Row],[VMA - Total]]/Tabela1[[#This Row],[VMA total do Lote]]</f>
        <v>2.8599500360268992E-2</v>
      </c>
      <c r="X134" t="s">
        <v>392</v>
      </c>
      <c r="Y134" t="s">
        <v>393</v>
      </c>
      <c r="Z134" s="55" t="str">
        <f>Tabela1[[#This Row],[Material]]&amp;"-"&amp;Tabela1[[#This Row],[Centro
Origem]]&amp;"-"&amp;Tabela1[[#This Row],[Depósito]]&amp;"-"&amp;Tabela1[[#This Row],[Tipo de Avaliação]]&amp;"-"&amp;Tabela1[[#This Row],[Elemento PEP]]</f>
        <v>11117023-4419-JI01-IMOB/NAC3-</v>
      </c>
      <c r="AA134" s="58" t="str">
        <f>INDEX(ResumoLotesSUPERBID[Sugestão],MATCH(Tabela1[[#This Row],[Lote]],ResumoLotesSUPERBID[LOTES],0))</f>
        <v>Para Leilão</v>
      </c>
      <c r="AB134" s="56">
        <f>INDEX(ResumoLotesSUPERBID[VMA / Comparação],MATCH(Tabela1[[#This Row],[Lote]],ResumoLotesSUPERBID[LOTES],0))</f>
        <v>0.30692589976744977</v>
      </c>
      <c r="AC134" s="59" t="str">
        <f>INDEX(ResumoLotesSUPERBID[Descrição],MATCH(Tabela1[[#This Row],[Lote]],ResumoLotesSUPERBID[LOTES],0))</f>
        <v>1% do Valor de Comparação do VMA</v>
      </c>
    </row>
    <row r="135" spans="1:29" x14ac:dyDescent="0.25">
      <c r="A135" s="20" t="s">
        <v>312</v>
      </c>
      <c r="B135" t="s">
        <v>47</v>
      </c>
      <c r="D135" s="16" t="s">
        <v>290</v>
      </c>
      <c r="E135" t="s">
        <v>61</v>
      </c>
      <c r="F135" s="22">
        <v>11117048</v>
      </c>
      <c r="G135" t="s">
        <v>313</v>
      </c>
      <c r="H135" s="6">
        <v>4419</v>
      </c>
      <c r="J135" s="6" t="s">
        <v>386</v>
      </c>
      <c r="K135" t="s">
        <v>390</v>
      </c>
      <c r="M135">
        <v>4</v>
      </c>
      <c r="N135" t="s">
        <v>391</v>
      </c>
      <c r="O135" s="7">
        <v>10093.549999999999</v>
      </c>
      <c r="P135" s="7">
        <f>Tabela1[[#This Row],[Valor Contábil Unitário]]*Tabela1[[#This Row],[Quantidade]]</f>
        <v>40374.199999999997</v>
      </c>
      <c r="Q135" s="7">
        <v>10093.545</v>
      </c>
      <c r="R135" s="7">
        <f>Tabela1[[#This Row],[Valor de Reposição Unitário]]*Tabela1[[#This Row],[Quantidade]]</f>
        <v>40374.18</v>
      </c>
      <c r="S135" s="48">
        <f>IF(Tabela1[[#This Row],[Valor Contábil Total]]&gt;Tabela1[[#This Row],[Valor total de Reposição]],Tabela1[[#This Row],[Valor Contábil Total]],Tabela1[[#This Row],[Valor total de Reposição]])</f>
        <v>40374.199999999997</v>
      </c>
      <c r="T135" s="7">
        <v>2725.2571500000004</v>
      </c>
      <c r="U135" s="7">
        <f>Tabela1[[#This Row],[VMA - Unitário]]*Tabela1[[#This Row],[Quantidade]]</f>
        <v>10901.028600000001</v>
      </c>
      <c r="V135" s="48">
        <f>INDEX(ResumoLotesSUPERBID[VMA Total do Lote],MATCH(Tabela1[[#This Row],[Lote]],ResumoLotesSUPERBID[LOTES],0))</f>
        <v>628472.51433000015</v>
      </c>
      <c r="W135" s="57">
        <f>Tabela1[[#This Row],[VMA - Total]]/Tabela1[[#This Row],[VMA total do Lote]]</f>
        <v>1.7345275014327928E-2</v>
      </c>
      <c r="X135" t="s">
        <v>392</v>
      </c>
      <c r="Y135" t="s">
        <v>393</v>
      </c>
      <c r="Z135" s="55" t="str">
        <f>Tabela1[[#This Row],[Material]]&amp;"-"&amp;Tabela1[[#This Row],[Centro
Origem]]&amp;"-"&amp;Tabela1[[#This Row],[Depósito]]&amp;"-"&amp;Tabela1[[#This Row],[Tipo de Avaliação]]&amp;"-"&amp;Tabela1[[#This Row],[Elemento PEP]]</f>
        <v>11117048-4419-JI01-IMOB/NAC3-</v>
      </c>
      <c r="AA135" s="58" t="str">
        <f>INDEX(ResumoLotesSUPERBID[Sugestão],MATCH(Tabela1[[#This Row],[Lote]],ResumoLotesSUPERBID[LOTES],0))</f>
        <v>Para Leilão</v>
      </c>
      <c r="AB135" s="56">
        <f>INDEX(ResumoLotesSUPERBID[VMA / Comparação],MATCH(Tabela1[[#This Row],[Lote]],ResumoLotesSUPERBID[LOTES],0))</f>
        <v>0.30692589976744977</v>
      </c>
      <c r="AC135" s="59" t="str">
        <f>INDEX(ResumoLotesSUPERBID[Descrição],MATCH(Tabela1[[#This Row],[Lote]],ResumoLotesSUPERBID[LOTES],0))</f>
        <v>1% do Valor de Comparação do VMA</v>
      </c>
    </row>
    <row r="136" spans="1:29" x14ac:dyDescent="0.25">
      <c r="A136" s="20" t="s">
        <v>314</v>
      </c>
      <c r="B136" t="s">
        <v>47</v>
      </c>
      <c r="D136" s="16" t="s">
        <v>290</v>
      </c>
      <c r="E136" t="s">
        <v>61</v>
      </c>
      <c r="F136" s="22">
        <v>11117052</v>
      </c>
      <c r="G136" t="s">
        <v>315</v>
      </c>
      <c r="H136" s="6">
        <v>4419</v>
      </c>
      <c r="J136" s="6" t="s">
        <v>386</v>
      </c>
      <c r="K136" t="s">
        <v>390</v>
      </c>
      <c r="M136">
        <v>8</v>
      </c>
      <c r="N136" t="s">
        <v>391</v>
      </c>
      <c r="O136" s="7">
        <v>5588.41</v>
      </c>
      <c r="P136" s="7">
        <f>Tabela1[[#This Row],[Valor Contábil Unitário]]*Tabela1[[#This Row],[Quantidade]]</f>
        <v>44707.28</v>
      </c>
      <c r="Q136" s="7">
        <v>5588.4137499999997</v>
      </c>
      <c r="R136" s="7">
        <f>Tabela1[[#This Row],[Valor de Reposição Unitário]]*Tabela1[[#This Row],[Quantidade]]</f>
        <v>44707.31</v>
      </c>
      <c r="S136" s="48">
        <f>IF(Tabela1[[#This Row],[Valor Contábil Total]]&gt;Tabela1[[#This Row],[Valor total de Reposição]],Tabela1[[#This Row],[Valor Contábil Total]],Tabela1[[#This Row],[Valor total de Reposição]])</f>
        <v>44707.31</v>
      </c>
      <c r="T136" s="7">
        <v>1508.8717125000001</v>
      </c>
      <c r="U136" s="7">
        <f>Tabela1[[#This Row],[VMA - Unitário]]*Tabela1[[#This Row],[Quantidade]]</f>
        <v>12070.9737</v>
      </c>
      <c r="V136" s="48">
        <f>INDEX(ResumoLotesSUPERBID[VMA Total do Lote],MATCH(Tabela1[[#This Row],[Lote]],ResumoLotesSUPERBID[LOTES],0))</f>
        <v>628472.51433000015</v>
      </c>
      <c r="W136" s="57">
        <f>Tabela1[[#This Row],[VMA - Total]]/Tabela1[[#This Row],[VMA total do Lote]]</f>
        <v>1.9206844252956046E-2</v>
      </c>
      <c r="X136" t="s">
        <v>392</v>
      </c>
      <c r="Y136" t="s">
        <v>393</v>
      </c>
      <c r="Z136" s="55" t="str">
        <f>Tabela1[[#This Row],[Material]]&amp;"-"&amp;Tabela1[[#This Row],[Centro
Origem]]&amp;"-"&amp;Tabela1[[#This Row],[Depósito]]&amp;"-"&amp;Tabela1[[#This Row],[Tipo de Avaliação]]&amp;"-"&amp;Tabela1[[#This Row],[Elemento PEP]]</f>
        <v>11117052-4419-JI01-IMOB/NAC3-</v>
      </c>
      <c r="AA136" s="58" t="str">
        <f>INDEX(ResumoLotesSUPERBID[Sugestão],MATCH(Tabela1[[#This Row],[Lote]],ResumoLotesSUPERBID[LOTES],0))</f>
        <v>Para Leilão</v>
      </c>
      <c r="AB136" s="56">
        <f>INDEX(ResumoLotesSUPERBID[VMA / Comparação],MATCH(Tabela1[[#This Row],[Lote]],ResumoLotesSUPERBID[LOTES],0))</f>
        <v>0.30692589976744977</v>
      </c>
      <c r="AC136" s="59" t="str">
        <f>INDEX(ResumoLotesSUPERBID[Descrição],MATCH(Tabela1[[#This Row],[Lote]],ResumoLotesSUPERBID[LOTES],0))</f>
        <v>1% do Valor de Comparação do VMA</v>
      </c>
    </row>
    <row r="137" spans="1:29" x14ac:dyDescent="0.25">
      <c r="A137" s="20" t="s">
        <v>316</v>
      </c>
      <c r="B137" t="s">
        <v>47</v>
      </c>
      <c r="D137" s="16" t="s">
        <v>290</v>
      </c>
      <c r="E137" t="s">
        <v>61</v>
      </c>
      <c r="F137" s="22">
        <v>11117085</v>
      </c>
      <c r="G137" t="s">
        <v>317</v>
      </c>
      <c r="H137" s="6">
        <v>4419</v>
      </c>
      <c r="J137" s="6" t="s">
        <v>386</v>
      </c>
      <c r="K137" t="s">
        <v>385</v>
      </c>
      <c r="M137">
        <v>18</v>
      </c>
      <c r="N137" t="s">
        <v>391</v>
      </c>
      <c r="O137" s="7">
        <v>6563.07</v>
      </c>
      <c r="P137" s="7">
        <f>Tabela1[[#This Row],[Valor Contábil Unitário]]*Tabela1[[#This Row],[Quantidade]]</f>
        <v>118135.26</v>
      </c>
      <c r="Q137" s="7">
        <v>6563.068888888889</v>
      </c>
      <c r="R137" s="7">
        <f>Tabela1[[#This Row],[Valor de Reposição Unitário]]*Tabela1[[#This Row],[Quantidade]]</f>
        <v>118135.24</v>
      </c>
      <c r="S137" s="48">
        <f>IF(Tabela1[[#This Row],[Valor Contábil Total]]&gt;Tabela1[[#This Row],[Valor total de Reposição]],Tabela1[[#This Row],[Valor Contábil Total]],Tabela1[[#This Row],[Valor total de Reposição]])</f>
        <v>118135.26</v>
      </c>
      <c r="T137" s="7">
        <v>1772.0286000000003</v>
      </c>
      <c r="U137" s="7">
        <f>Tabela1[[#This Row],[VMA - Unitário]]*Tabela1[[#This Row],[Quantidade]]</f>
        <v>31896.514800000004</v>
      </c>
      <c r="V137" s="48">
        <f>INDEX(ResumoLotesSUPERBID[VMA Total do Lote],MATCH(Tabela1[[#This Row],[Lote]],ResumoLotesSUPERBID[LOTES],0))</f>
        <v>628472.51433000015</v>
      </c>
      <c r="W137" s="57">
        <f>Tabela1[[#This Row],[VMA - Total]]/Tabela1[[#This Row],[VMA total do Lote]]</f>
        <v>5.0752441948880025E-2</v>
      </c>
      <c r="X137" t="s">
        <v>392</v>
      </c>
      <c r="Y137" t="s">
        <v>393</v>
      </c>
      <c r="Z137" s="55" t="str">
        <f>Tabela1[[#This Row],[Material]]&amp;"-"&amp;Tabela1[[#This Row],[Centro
Origem]]&amp;"-"&amp;Tabela1[[#This Row],[Depósito]]&amp;"-"&amp;Tabela1[[#This Row],[Tipo de Avaliação]]&amp;"-"&amp;Tabela1[[#This Row],[Elemento PEP]]</f>
        <v>11117085-4419-JI01-IMOB/NAC-</v>
      </c>
      <c r="AA137" s="58" t="str">
        <f>INDEX(ResumoLotesSUPERBID[Sugestão],MATCH(Tabela1[[#This Row],[Lote]],ResumoLotesSUPERBID[LOTES],0))</f>
        <v>Para Leilão</v>
      </c>
      <c r="AB137" s="56">
        <f>INDEX(ResumoLotesSUPERBID[VMA / Comparação],MATCH(Tabela1[[#This Row],[Lote]],ResumoLotesSUPERBID[LOTES],0))</f>
        <v>0.30692589976744977</v>
      </c>
      <c r="AC137" s="59" t="str">
        <f>INDEX(ResumoLotesSUPERBID[Descrição],MATCH(Tabela1[[#This Row],[Lote]],ResumoLotesSUPERBID[LOTES],0))</f>
        <v>1% do Valor de Comparação do VMA</v>
      </c>
    </row>
    <row r="138" spans="1:29" x14ac:dyDescent="0.25">
      <c r="A138" s="20" t="s">
        <v>318</v>
      </c>
      <c r="B138" t="s">
        <v>47</v>
      </c>
      <c r="D138" s="16" t="s">
        <v>290</v>
      </c>
      <c r="E138" t="s">
        <v>61</v>
      </c>
      <c r="F138" s="22">
        <v>11117181</v>
      </c>
      <c r="G138" t="s">
        <v>319</v>
      </c>
      <c r="H138" s="6">
        <v>4419</v>
      </c>
      <c r="J138" s="6" t="s">
        <v>386</v>
      </c>
      <c r="K138" t="s">
        <v>385</v>
      </c>
      <c r="M138">
        <v>4</v>
      </c>
      <c r="N138" t="s">
        <v>391</v>
      </c>
      <c r="O138" s="7">
        <v>3755.23</v>
      </c>
      <c r="P138" s="7">
        <f>Tabela1[[#This Row],[Valor Contábil Unitário]]*Tabela1[[#This Row],[Quantidade]]</f>
        <v>15020.92</v>
      </c>
      <c r="Q138" s="7">
        <v>3755.2314999999999</v>
      </c>
      <c r="R138" s="7">
        <f>Tabela1[[#This Row],[Valor de Reposição Unitário]]*Tabela1[[#This Row],[Quantidade]]</f>
        <v>15020.925999999999</v>
      </c>
      <c r="S138" s="48">
        <f>IF(Tabela1[[#This Row],[Valor Contábil Total]]&gt;Tabela1[[#This Row],[Valor total de Reposição]],Tabela1[[#This Row],[Valor Contábil Total]],Tabela1[[#This Row],[Valor total de Reposição]])</f>
        <v>15020.925999999999</v>
      </c>
      <c r="T138" s="7">
        <v>1013.912505</v>
      </c>
      <c r="U138" s="7">
        <f>Tabela1[[#This Row],[VMA - Unitário]]*Tabela1[[#This Row],[Quantidade]]</f>
        <v>4055.65002</v>
      </c>
      <c r="V138" s="48">
        <f>INDEX(ResumoLotesSUPERBID[VMA Total do Lote],MATCH(Tabela1[[#This Row],[Lote]],ResumoLotesSUPERBID[LOTES],0))</f>
        <v>628472.51433000015</v>
      </c>
      <c r="W138" s="57">
        <f>Tabela1[[#This Row],[VMA - Total]]/Tabela1[[#This Row],[VMA total do Lote]]</f>
        <v>6.4531859827213506E-3</v>
      </c>
      <c r="X138" t="s">
        <v>392</v>
      </c>
      <c r="Y138" t="s">
        <v>393</v>
      </c>
      <c r="Z138" s="55" t="str">
        <f>Tabela1[[#This Row],[Material]]&amp;"-"&amp;Tabela1[[#This Row],[Centro
Origem]]&amp;"-"&amp;Tabela1[[#This Row],[Depósito]]&amp;"-"&amp;Tabela1[[#This Row],[Tipo de Avaliação]]&amp;"-"&amp;Tabela1[[#This Row],[Elemento PEP]]</f>
        <v>11117181-4419-JI01-IMOB/NAC-</v>
      </c>
      <c r="AA138" s="58" t="str">
        <f>INDEX(ResumoLotesSUPERBID[Sugestão],MATCH(Tabela1[[#This Row],[Lote]],ResumoLotesSUPERBID[LOTES],0))</f>
        <v>Para Leilão</v>
      </c>
      <c r="AB138" s="56">
        <f>INDEX(ResumoLotesSUPERBID[VMA / Comparação],MATCH(Tabela1[[#This Row],[Lote]],ResumoLotesSUPERBID[LOTES],0))</f>
        <v>0.30692589976744977</v>
      </c>
      <c r="AC138" s="59" t="str">
        <f>INDEX(ResumoLotesSUPERBID[Descrição],MATCH(Tabela1[[#This Row],[Lote]],ResumoLotesSUPERBID[LOTES],0))</f>
        <v>1% do Valor de Comparação do VMA</v>
      </c>
    </row>
    <row r="139" spans="1:29" x14ac:dyDescent="0.25">
      <c r="A139" s="20" t="s">
        <v>320</v>
      </c>
      <c r="B139" t="s">
        <v>47</v>
      </c>
      <c r="D139" s="16" t="s">
        <v>290</v>
      </c>
      <c r="E139" t="s">
        <v>61</v>
      </c>
      <c r="F139" s="22">
        <v>11117181</v>
      </c>
      <c r="G139" t="s">
        <v>319</v>
      </c>
      <c r="H139" s="6">
        <v>4419</v>
      </c>
      <c r="J139" s="6" t="s">
        <v>386</v>
      </c>
      <c r="K139" t="s">
        <v>385</v>
      </c>
      <c r="M139">
        <v>1</v>
      </c>
      <c r="N139" t="s">
        <v>391</v>
      </c>
      <c r="O139" s="7">
        <v>3755.23</v>
      </c>
      <c r="P139" s="7">
        <f>Tabela1[[#This Row],[Valor Contábil Unitário]]*Tabela1[[#This Row],[Quantidade]]</f>
        <v>3755.23</v>
      </c>
      <c r="Q139" s="7">
        <v>3755.23</v>
      </c>
      <c r="R139" s="7">
        <f>Tabela1[[#This Row],[Valor de Reposição Unitário]]*Tabela1[[#This Row],[Quantidade]]</f>
        <v>3755.23</v>
      </c>
      <c r="S139" s="48">
        <f>IF(Tabela1[[#This Row],[Valor Contábil Total]]&gt;Tabela1[[#This Row],[Valor total de Reposição]],Tabela1[[#This Row],[Valor Contábil Total]],Tabela1[[#This Row],[Valor total de Reposição]])</f>
        <v>3755.23</v>
      </c>
      <c r="T139" s="7">
        <v>1013.9121000000001</v>
      </c>
      <c r="U139" s="7">
        <f>Tabela1[[#This Row],[VMA - Unitário]]*Tabela1[[#This Row],[Quantidade]]</f>
        <v>1013.9121000000001</v>
      </c>
      <c r="V139" s="48">
        <f>INDEX(ResumoLotesSUPERBID[VMA Total do Lote],MATCH(Tabela1[[#This Row],[Lote]],ResumoLotesSUPERBID[LOTES],0))</f>
        <v>628472.51433000015</v>
      </c>
      <c r="W139" s="57">
        <f>Tabela1[[#This Row],[VMA - Total]]/Tabela1[[#This Row],[VMA total do Lote]]</f>
        <v>1.6132958512607479E-3</v>
      </c>
      <c r="X139" t="s">
        <v>392</v>
      </c>
      <c r="Y139" t="s">
        <v>393</v>
      </c>
      <c r="Z139" s="55" t="str">
        <f>Tabela1[[#This Row],[Material]]&amp;"-"&amp;Tabela1[[#This Row],[Centro
Origem]]&amp;"-"&amp;Tabela1[[#This Row],[Depósito]]&amp;"-"&amp;Tabela1[[#This Row],[Tipo de Avaliação]]&amp;"-"&amp;Tabela1[[#This Row],[Elemento PEP]]</f>
        <v>11117181-4419-JI01-IMOB/NAC-</v>
      </c>
      <c r="AA139" s="58" t="str">
        <f>INDEX(ResumoLotesSUPERBID[Sugestão],MATCH(Tabela1[[#This Row],[Lote]],ResumoLotesSUPERBID[LOTES],0))</f>
        <v>Para Leilão</v>
      </c>
      <c r="AB139" s="56">
        <f>INDEX(ResumoLotesSUPERBID[VMA / Comparação],MATCH(Tabela1[[#This Row],[Lote]],ResumoLotesSUPERBID[LOTES],0))</f>
        <v>0.30692589976744977</v>
      </c>
      <c r="AC139" s="59" t="str">
        <f>INDEX(ResumoLotesSUPERBID[Descrição],MATCH(Tabela1[[#This Row],[Lote]],ResumoLotesSUPERBID[LOTES],0))</f>
        <v>1% do Valor de Comparação do VMA</v>
      </c>
    </row>
    <row r="140" spans="1:29" x14ac:dyDescent="0.25">
      <c r="A140" s="20" t="s">
        <v>321</v>
      </c>
      <c r="B140" t="s">
        <v>47</v>
      </c>
      <c r="D140" s="16" t="s">
        <v>290</v>
      </c>
      <c r="E140" t="s">
        <v>61</v>
      </c>
      <c r="F140" s="22">
        <v>11117183</v>
      </c>
      <c r="G140" t="s">
        <v>319</v>
      </c>
      <c r="H140" s="6">
        <v>4419</v>
      </c>
      <c r="J140" s="6" t="s">
        <v>386</v>
      </c>
      <c r="K140" t="s">
        <v>390</v>
      </c>
      <c r="M140">
        <v>6</v>
      </c>
      <c r="N140" t="s">
        <v>391</v>
      </c>
      <c r="O140" s="7">
        <v>17539.169999999998</v>
      </c>
      <c r="P140" s="7">
        <f>Tabela1[[#This Row],[Valor Contábil Unitário]]*Tabela1[[#This Row],[Quantidade]]</f>
        <v>105235.01999999999</v>
      </c>
      <c r="Q140" s="7">
        <v>17539.168833333333</v>
      </c>
      <c r="R140" s="7">
        <f>Tabela1[[#This Row],[Valor de Reposição Unitário]]*Tabela1[[#This Row],[Quantidade]]</f>
        <v>105235.01300000001</v>
      </c>
      <c r="S140" s="48">
        <f>IF(Tabela1[[#This Row],[Valor Contábil Total]]&gt;Tabela1[[#This Row],[Valor total de Reposição]],Tabela1[[#This Row],[Valor Contábil Total]],Tabela1[[#This Row],[Valor total de Reposição]])</f>
        <v>105235.01999999999</v>
      </c>
      <c r="T140" s="7">
        <v>4735.5755850000005</v>
      </c>
      <c r="U140" s="7">
        <f>Tabela1[[#This Row],[VMA - Unitário]]*Tabela1[[#This Row],[Quantidade]]</f>
        <v>28413.453510000003</v>
      </c>
      <c r="V140" s="48">
        <f>INDEX(ResumoLotesSUPERBID[VMA Total do Lote],MATCH(Tabela1[[#This Row],[Lote]],ResumoLotesSUPERBID[LOTES],0))</f>
        <v>628472.51433000015</v>
      </c>
      <c r="W140" s="57">
        <f>Tabela1[[#This Row],[VMA - Total]]/Tabela1[[#This Row],[VMA total do Lote]]</f>
        <v>4.5210335952863299E-2</v>
      </c>
      <c r="X140" t="s">
        <v>392</v>
      </c>
      <c r="Y140" t="s">
        <v>393</v>
      </c>
      <c r="Z140" s="55" t="str">
        <f>Tabela1[[#This Row],[Material]]&amp;"-"&amp;Tabela1[[#This Row],[Centro
Origem]]&amp;"-"&amp;Tabela1[[#This Row],[Depósito]]&amp;"-"&amp;Tabela1[[#This Row],[Tipo de Avaliação]]&amp;"-"&amp;Tabela1[[#This Row],[Elemento PEP]]</f>
        <v>11117183-4419-JI01-IMOB/NAC3-</v>
      </c>
      <c r="AA140" s="58" t="str">
        <f>INDEX(ResumoLotesSUPERBID[Sugestão],MATCH(Tabela1[[#This Row],[Lote]],ResumoLotesSUPERBID[LOTES],0))</f>
        <v>Para Leilão</v>
      </c>
      <c r="AB140" s="56">
        <f>INDEX(ResumoLotesSUPERBID[VMA / Comparação],MATCH(Tabela1[[#This Row],[Lote]],ResumoLotesSUPERBID[LOTES],0))</f>
        <v>0.30692589976744977</v>
      </c>
      <c r="AC140" s="59" t="str">
        <f>INDEX(ResumoLotesSUPERBID[Descrição],MATCH(Tabela1[[#This Row],[Lote]],ResumoLotesSUPERBID[LOTES],0))</f>
        <v>1% do Valor de Comparação do VMA</v>
      </c>
    </row>
    <row r="141" spans="1:29" x14ac:dyDescent="0.25">
      <c r="A141" s="20" t="s">
        <v>322</v>
      </c>
      <c r="B141" t="s">
        <v>47</v>
      </c>
      <c r="D141" s="16" t="s">
        <v>290</v>
      </c>
      <c r="E141" t="s">
        <v>61</v>
      </c>
      <c r="F141" s="22">
        <v>11117209</v>
      </c>
      <c r="G141" t="s">
        <v>323</v>
      </c>
      <c r="H141" s="6">
        <v>4419</v>
      </c>
      <c r="J141" s="6" t="s">
        <v>386</v>
      </c>
      <c r="K141" t="s">
        <v>385</v>
      </c>
      <c r="M141">
        <v>14</v>
      </c>
      <c r="N141" t="s">
        <v>391</v>
      </c>
      <c r="O141" s="7">
        <v>7704.71</v>
      </c>
      <c r="P141" s="7">
        <f>Tabela1[[#This Row],[Valor Contábil Unitário]]*Tabela1[[#This Row],[Quantidade]]</f>
        <v>107865.94</v>
      </c>
      <c r="Q141" s="7">
        <v>7704.7092857142852</v>
      </c>
      <c r="R141" s="7">
        <f>Tabela1[[#This Row],[Valor de Reposição Unitário]]*Tabela1[[#This Row],[Quantidade]]</f>
        <v>107865.93</v>
      </c>
      <c r="S141" s="48">
        <f>IF(Tabela1[[#This Row],[Valor Contábil Total]]&gt;Tabela1[[#This Row],[Valor total de Reposição]],Tabela1[[#This Row],[Valor Contábil Total]],Tabela1[[#This Row],[Valor total de Reposição]])</f>
        <v>107865.94</v>
      </c>
      <c r="T141" s="7">
        <v>2080.271507142857</v>
      </c>
      <c r="U141" s="7">
        <f>Tabela1[[#This Row],[VMA - Unitário]]*Tabela1[[#This Row],[Quantidade]]</f>
        <v>29123.801099999997</v>
      </c>
      <c r="V141" s="48">
        <f>INDEX(ResumoLotesSUPERBID[VMA Total do Lote],MATCH(Tabela1[[#This Row],[Lote]],ResumoLotesSUPERBID[LOTES],0))</f>
        <v>628472.51433000015</v>
      </c>
      <c r="W141" s="57">
        <f>Tabela1[[#This Row],[VMA - Total]]/Tabela1[[#This Row],[VMA total do Lote]]</f>
        <v>4.6340612255809148E-2</v>
      </c>
      <c r="X141" t="s">
        <v>392</v>
      </c>
      <c r="Y141" t="s">
        <v>393</v>
      </c>
      <c r="Z141" s="55" t="str">
        <f>Tabela1[[#This Row],[Material]]&amp;"-"&amp;Tabela1[[#This Row],[Centro
Origem]]&amp;"-"&amp;Tabela1[[#This Row],[Depósito]]&amp;"-"&amp;Tabela1[[#This Row],[Tipo de Avaliação]]&amp;"-"&amp;Tabela1[[#This Row],[Elemento PEP]]</f>
        <v>11117209-4419-JI01-IMOB/NAC-</v>
      </c>
      <c r="AA141" s="58" t="str">
        <f>INDEX(ResumoLotesSUPERBID[Sugestão],MATCH(Tabela1[[#This Row],[Lote]],ResumoLotesSUPERBID[LOTES],0))</f>
        <v>Para Leilão</v>
      </c>
      <c r="AB141" s="56">
        <f>INDEX(ResumoLotesSUPERBID[VMA / Comparação],MATCH(Tabela1[[#This Row],[Lote]],ResumoLotesSUPERBID[LOTES],0))</f>
        <v>0.30692589976744977</v>
      </c>
      <c r="AC141" s="59" t="str">
        <f>INDEX(ResumoLotesSUPERBID[Descrição],MATCH(Tabela1[[#This Row],[Lote]],ResumoLotesSUPERBID[LOTES],0))</f>
        <v>1% do Valor de Comparação do VMA</v>
      </c>
    </row>
    <row r="142" spans="1:29" x14ac:dyDescent="0.25">
      <c r="A142" s="20" t="s">
        <v>324</v>
      </c>
      <c r="B142" t="s">
        <v>47</v>
      </c>
      <c r="D142" s="16" t="s">
        <v>290</v>
      </c>
      <c r="E142" t="s">
        <v>61</v>
      </c>
      <c r="F142" s="22">
        <v>11117210</v>
      </c>
      <c r="G142" t="s">
        <v>323</v>
      </c>
      <c r="H142" s="6">
        <v>4419</v>
      </c>
      <c r="J142" s="6" t="s">
        <v>386</v>
      </c>
      <c r="K142" t="s">
        <v>385</v>
      </c>
      <c r="M142">
        <v>14</v>
      </c>
      <c r="N142" t="s">
        <v>391</v>
      </c>
      <c r="O142" s="7">
        <v>10288.049999999999</v>
      </c>
      <c r="P142" s="7">
        <f>Tabela1[[#This Row],[Valor Contábil Unitário]]*Tabela1[[#This Row],[Quantidade]]</f>
        <v>144032.69999999998</v>
      </c>
      <c r="Q142" s="7">
        <v>10288.050714285713</v>
      </c>
      <c r="R142" s="7">
        <f>Tabela1[[#This Row],[Valor de Reposição Unitário]]*Tabela1[[#This Row],[Quantidade]]</f>
        <v>144032.71</v>
      </c>
      <c r="S142" s="48">
        <f>IF(Tabela1[[#This Row],[Valor Contábil Total]]&gt;Tabela1[[#This Row],[Valor total de Reposição]],Tabela1[[#This Row],[Valor Contábil Total]],Tabela1[[#This Row],[Valor total de Reposição]])</f>
        <v>144032.71</v>
      </c>
      <c r="T142" s="7">
        <v>2777.773692857143</v>
      </c>
      <c r="U142" s="7">
        <f>Tabela1[[#This Row],[VMA - Unitário]]*Tabela1[[#This Row],[Quantidade]]</f>
        <v>38888.831700000002</v>
      </c>
      <c r="V142" s="48">
        <f>INDEX(ResumoLotesSUPERBID[VMA Total do Lote],MATCH(Tabela1[[#This Row],[Lote]],ResumoLotesSUPERBID[LOTES],0))</f>
        <v>628472.51433000015</v>
      </c>
      <c r="W142" s="57">
        <f>Tabela1[[#This Row],[VMA - Total]]/Tabela1[[#This Row],[VMA total do Lote]]</f>
        <v>6.1878333281541319E-2</v>
      </c>
      <c r="X142" t="s">
        <v>392</v>
      </c>
      <c r="Y142" t="s">
        <v>393</v>
      </c>
      <c r="Z142" s="55" t="str">
        <f>Tabela1[[#This Row],[Material]]&amp;"-"&amp;Tabela1[[#This Row],[Centro
Origem]]&amp;"-"&amp;Tabela1[[#This Row],[Depósito]]&amp;"-"&amp;Tabela1[[#This Row],[Tipo de Avaliação]]&amp;"-"&amp;Tabela1[[#This Row],[Elemento PEP]]</f>
        <v>11117210-4419-JI01-IMOB/NAC-</v>
      </c>
      <c r="AA142" s="58" t="str">
        <f>INDEX(ResumoLotesSUPERBID[Sugestão],MATCH(Tabela1[[#This Row],[Lote]],ResumoLotesSUPERBID[LOTES],0))</f>
        <v>Para Leilão</v>
      </c>
      <c r="AB142" s="56">
        <f>INDEX(ResumoLotesSUPERBID[VMA / Comparação],MATCH(Tabela1[[#This Row],[Lote]],ResumoLotesSUPERBID[LOTES],0))</f>
        <v>0.30692589976744977</v>
      </c>
      <c r="AC142" s="59" t="str">
        <f>INDEX(ResumoLotesSUPERBID[Descrição],MATCH(Tabela1[[#This Row],[Lote]],ResumoLotesSUPERBID[LOTES],0))</f>
        <v>1% do Valor de Comparação do VMA</v>
      </c>
    </row>
    <row r="143" spans="1:29" x14ac:dyDescent="0.25">
      <c r="A143" s="20" t="s">
        <v>325</v>
      </c>
      <c r="B143" t="s">
        <v>47</v>
      </c>
      <c r="D143" s="16" t="s">
        <v>290</v>
      </c>
      <c r="E143" t="s">
        <v>61</v>
      </c>
      <c r="F143" s="22">
        <v>11117212</v>
      </c>
      <c r="G143" t="s">
        <v>326</v>
      </c>
      <c r="H143" s="6">
        <v>4419</v>
      </c>
      <c r="J143" s="6" t="s">
        <v>386</v>
      </c>
      <c r="K143" t="s">
        <v>390</v>
      </c>
      <c r="M143">
        <v>18</v>
      </c>
      <c r="N143" t="s">
        <v>391</v>
      </c>
      <c r="O143" s="7">
        <v>903.3</v>
      </c>
      <c r="P143" s="7">
        <f>Tabela1[[#This Row],[Valor Contábil Unitário]]*Tabela1[[#This Row],[Quantidade]]</f>
        <v>16259.4</v>
      </c>
      <c r="Q143" s="7">
        <v>903.29944444444436</v>
      </c>
      <c r="R143" s="7">
        <f>Tabela1[[#This Row],[Valor de Reposição Unitário]]*Tabela1[[#This Row],[Quantidade]]</f>
        <v>16259.39</v>
      </c>
      <c r="S143" s="48">
        <f>IF(Tabela1[[#This Row],[Valor Contábil Total]]&gt;Tabela1[[#This Row],[Valor total de Reposição]],Tabela1[[#This Row],[Valor Contábil Total]],Tabela1[[#This Row],[Valor total de Reposição]])</f>
        <v>16259.4</v>
      </c>
      <c r="T143" s="7">
        <v>243.89085000000003</v>
      </c>
      <c r="U143" s="7">
        <f>Tabela1[[#This Row],[VMA - Unitário]]*Tabela1[[#This Row],[Quantidade]]</f>
        <v>4390.0353000000005</v>
      </c>
      <c r="V143" s="48">
        <f>INDEX(ResumoLotesSUPERBID[VMA Total do Lote],MATCH(Tabela1[[#This Row],[Lote]],ResumoLotesSUPERBID[LOTES],0))</f>
        <v>628472.51433000015</v>
      </c>
      <c r="W143" s="57">
        <f>Tabela1[[#This Row],[VMA - Total]]/Tabela1[[#This Row],[VMA total do Lote]]</f>
        <v>6.9852462914469929E-3</v>
      </c>
      <c r="X143" t="s">
        <v>392</v>
      </c>
      <c r="Y143" t="s">
        <v>393</v>
      </c>
      <c r="Z143" s="55" t="str">
        <f>Tabela1[[#This Row],[Material]]&amp;"-"&amp;Tabela1[[#This Row],[Centro
Origem]]&amp;"-"&amp;Tabela1[[#This Row],[Depósito]]&amp;"-"&amp;Tabela1[[#This Row],[Tipo de Avaliação]]&amp;"-"&amp;Tabela1[[#This Row],[Elemento PEP]]</f>
        <v>11117212-4419-JI01-IMOB/NAC3-</v>
      </c>
      <c r="AA143" s="58" t="str">
        <f>INDEX(ResumoLotesSUPERBID[Sugestão],MATCH(Tabela1[[#This Row],[Lote]],ResumoLotesSUPERBID[LOTES],0))</f>
        <v>Para Leilão</v>
      </c>
      <c r="AB143" s="56">
        <f>INDEX(ResumoLotesSUPERBID[VMA / Comparação],MATCH(Tabela1[[#This Row],[Lote]],ResumoLotesSUPERBID[LOTES],0))</f>
        <v>0.30692589976744977</v>
      </c>
      <c r="AC143" s="59" t="str">
        <f>INDEX(ResumoLotesSUPERBID[Descrição],MATCH(Tabela1[[#This Row],[Lote]],ResumoLotesSUPERBID[LOTES],0))</f>
        <v>1% do Valor de Comparação do VMA</v>
      </c>
    </row>
    <row r="144" spans="1:29" x14ac:dyDescent="0.25">
      <c r="A144" s="20" t="s">
        <v>327</v>
      </c>
      <c r="B144" t="s">
        <v>47</v>
      </c>
      <c r="D144" s="16" t="s">
        <v>290</v>
      </c>
      <c r="E144" t="s">
        <v>61</v>
      </c>
      <c r="F144" s="22">
        <v>11327391</v>
      </c>
      <c r="G144" t="s">
        <v>328</v>
      </c>
      <c r="H144" s="6">
        <v>4419</v>
      </c>
      <c r="J144" s="6" t="s">
        <v>386</v>
      </c>
      <c r="K144" t="s">
        <v>385</v>
      </c>
      <c r="M144">
        <v>1</v>
      </c>
      <c r="N144" t="s">
        <v>391</v>
      </c>
      <c r="O144" s="7">
        <v>11410.54</v>
      </c>
      <c r="P144" s="7">
        <f>Tabela1[[#This Row],[Valor Contábil Unitário]]*Tabela1[[#This Row],[Quantidade]]</f>
        <v>11410.54</v>
      </c>
      <c r="Q144" s="7">
        <v>11410.54</v>
      </c>
      <c r="R144" s="7">
        <f>Tabela1[[#This Row],[Valor de Reposição Unitário]]*Tabela1[[#This Row],[Quantidade]]</f>
        <v>11410.54</v>
      </c>
      <c r="S144" s="48">
        <f>IF(Tabela1[[#This Row],[Valor Contábil Total]]&gt;Tabela1[[#This Row],[Valor total de Reposição]],Tabela1[[#This Row],[Valor Contábil Total]],Tabela1[[#This Row],[Valor total de Reposição]])</f>
        <v>11410.54</v>
      </c>
      <c r="T144" s="7">
        <v>3080.8458000000005</v>
      </c>
      <c r="U144" s="7">
        <f>Tabela1[[#This Row],[VMA - Unitário]]*Tabela1[[#This Row],[Quantidade]]</f>
        <v>3080.8458000000005</v>
      </c>
      <c r="V144" s="48">
        <f>INDEX(ResumoLotesSUPERBID[VMA Total do Lote],MATCH(Tabela1[[#This Row],[Lote]],ResumoLotesSUPERBID[LOTES],0))</f>
        <v>628472.51433000015</v>
      </c>
      <c r="W144" s="57">
        <f>Tabela1[[#This Row],[VMA - Total]]/Tabela1[[#This Row],[VMA total do Lote]]</f>
        <v>4.9021170055215833E-3</v>
      </c>
      <c r="X144" t="s">
        <v>392</v>
      </c>
      <c r="Y144" t="s">
        <v>393</v>
      </c>
      <c r="Z144" s="55" t="str">
        <f>Tabela1[[#This Row],[Material]]&amp;"-"&amp;Tabela1[[#This Row],[Centro
Origem]]&amp;"-"&amp;Tabela1[[#This Row],[Depósito]]&amp;"-"&amp;Tabela1[[#This Row],[Tipo de Avaliação]]&amp;"-"&amp;Tabela1[[#This Row],[Elemento PEP]]</f>
        <v>11327391-4419-JI01-IMOB/NAC-</v>
      </c>
      <c r="AA144" s="58" t="str">
        <f>INDEX(ResumoLotesSUPERBID[Sugestão],MATCH(Tabela1[[#This Row],[Lote]],ResumoLotesSUPERBID[LOTES],0))</f>
        <v>Para Leilão</v>
      </c>
      <c r="AB144" s="56">
        <f>INDEX(ResumoLotesSUPERBID[VMA / Comparação],MATCH(Tabela1[[#This Row],[Lote]],ResumoLotesSUPERBID[LOTES],0))</f>
        <v>0.30692589976744977</v>
      </c>
      <c r="AC144" s="59" t="str">
        <f>INDEX(ResumoLotesSUPERBID[Descrição],MATCH(Tabela1[[#This Row],[Lote]],ResumoLotesSUPERBID[LOTES],0))</f>
        <v>1% do Valor de Comparação do VMA</v>
      </c>
    </row>
    <row r="145" spans="1:29" x14ac:dyDescent="0.25">
      <c r="A145" s="20" t="s">
        <v>329</v>
      </c>
      <c r="B145" t="s">
        <v>47</v>
      </c>
      <c r="D145" s="16" t="s">
        <v>290</v>
      </c>
      <c r="E145" t="s">
        <v>61</v>
      </c>
      <c r="F145" s="22">
        <v>11117272</v>
      </c>
      <c r="G145" t="s">
        <v>330</v>
      </c>
      <c r="H145" s="6">
        <v>4419</v>
      </c>
      <c r="J145" s="6" t="s">
        <v>386</v>
      </c>
      <c r="K145" t="s">
        <v>385</v>
      </c>
      <c r="M145">
        <v>2</v>
      </c>
      <c r="N145" t="s">
        <v>391</v>
      </c>
      <c r="O145" s="7">
        <v>5296.41</v>
      </c>
      <c r="P145" s="7">
        <f>Tabela1[[#This Row],[Valor Contábil Unitário]]*Tabela1[[#This Row],[Quantidade]]</f>
        <v>10592.82</v>
      </c>
      <c r="Q145" s="7">
        <v>5296.41</v>
      </c>
      <c r="R145" s="7">
        <f>Tabela1[[#This Row],[Valor de Reposição Unitário]]*Tabela1[[#This Row],[Quantidade]]</f>
        <v>10592.82</v>
      </c>
      <c r="S145" s="48">
        <f>IF(Tabela1[[#This Row],[Valor Contábil Total]]&gt;Tabela1[[#This Row],[Valor total de Reposição]],Tabela1[[#This Row],[Valor Contábil Total]],Tabela1[[#This Row],[Valor total de Reposição]])</f>
        <v>10592.82</v>
      </c>
      <c r="T145" s="7">
        <v>1430.0307</v>
      </c>
      <c r="U145" s="7">
        <f>Tabela1[[#This Row],[VMA - Unitário]]*Tabela1[[#This Row],[Quantidade]]</f>
        <v>2860.0614</v>
      </c>
      <c r="V145" s="48">
        <f>INDEX(ResumoLotesSUPERBID[VMA Total do Lote],MATCH(Tabela1[[#This Row],[Lote]],ResumoLotesSUPERBID[LOTES],0))</f>
        <v>628472.51433000015</v>
      </c>
      <c r="W145" s="57">
        <f>Tabela1[[#This Row],[VMA - Total]]/Tabela1[[#This Row],[VMA total do Lote]]</f>
        <v>4.5508138141077568E-3</v>
      </c>
      <c r="X145" t="s">
        <v>392</v>
      </c>
      <c r="Y145" t="s">
        <v>393</v>
      </c>
      <c r="Z145" s="55" t="str">
        <f>Tabela1[[#This Row],[Material]]&amp;"-"&amp;Tabela1[[#This Row],[Centro
Origem]]&amp;"-"&amp;Tabela1[[#This Row],[Depósito]]&amp;"-"&amp;Tabela1[[#This Row],[Tipo de Avaliação]]&amp;"-"&amp;Tabela1[[#This Row],[Elemento PEP]]</f>
        <v>11117272-4419-JI01-IMOB/NAC-</v>
      </c>
      <c r="AA145" s="58" t="str">
        <f>INDEX(ResumoLotesSUPERBID[Sugestão],MATCH(Tabela1[[#This Row],[Lote]],ResumoLotesSUPERBID[LOTES],0))</f>
        <v>Para Leilão</v>
      </c>
      <c r="AB145" s="56">
        <f>INDEX(ResumoLotesSUPERBID[VMA / Comparação],MATCH(Tabela1[[#This Row],[Lote]],ResumoLotesSUPERBID[LOTES],0))</f>
        <v>0.30692589976744977</v>
      </c>
      <c r="AC145" s="59" t="str">
        <f>INDEX(ResumoLotesSUPERBID[Descrição],MATCH(Tabela1[[#This Row],[Lote]],ResumoLotesSUPERBID[LOTES],0))</f>
        <v>1% do Valor de Comparação do VMA</v>
      </c>
    </row>
    <row r="146" spans="1:29" x14ac:dyDescent="0.25">
      <c r="A146" s="20" t="s">
        <v>331</v>
      </c>
      <c r="B146" t="s">
        <v>47</v>
      </c>
      <c r="D146" s="16" t="s">
        <v>290</v>
      </c>
      <c r="E146" t="s">
        <v>61</v>
      </c>
      <c r="F146" s="22">
        <v>11323054</v>
      </c>
      <c r="G146" t="s">
        <v>332</v>
      </c>
      <c r="H146" s="6">
        <v>4419</v>
      </c>
      <c r="J146" s="6" t="s">
        <v>386</v>
      </c>
      <c r="K146" t="s">
        <v>385</v>
      </c>
      <c r="M146">
        <v>1</v>
      </c>
      <c r="N146" t="s">
        <v>391</v>
      </c>
      <c r="O146" s="7">
        <v>4761.22</v>
      </c>
      <c r="P146" s="7">
        <f>Tabela1[[#This Row],[Valor Contábil Unitário]]*Tabela1[[#This Row],[Quantidade]]</f>
        <v>4761.22</v>
      </c>
      <c r="Q146" s="7">
        <v>4761.22</v>
      </c>
      <c r="R146" s="7">
        <f>Tabela1[[#This Row],[Valor de Reposição Unitário]]*Tabela1[[#This Row],[Quantidade]]</f>
        <v>4761.22</v>
      </c>
      <c r="S146" s="48">
        <f>IF(Tabela1[[#This Row],[Valor Contábil Total]]&gt;Tabela1[[#This Row],[Valor total de Reposição]],Tabela1[[#This Row],[Valor Contábil Total]],Tabela1[[#This Row],[Valor total de Reposição]])</f>
        <v>4761.22</v>
      </c>
      <c r="T146" s="7">
        <v>1285.5294000000001</v>
      </c>
      <c r="U146" s="7">
        <f>Tabela1[[#This Row],[VMA - Unitário]]*Tabela1[[#This Row],[Quantidade]]</f>
        <v>1285.5294000000001</v>
      </c>
      <c r="V146" s="48">
        <f>INDEX(ResumoLotesSUPERBID[VMA Total do Lote],MATCH(Tabela1[[#This Row],[Lote]],ResumoLotesSUPERBID[LOTES],0))</f>
        <v>628472.51433000015</v>
      </c>
      <c r="W146" s="57">
        <f>Tabela1[[#This Row],[VMA - Total]]/Tabela1[[#This Row],[VMA total do Lote]]</f>
        <v>2.0454822934786146E-3</v>
      </c>
      <c r="X146" t="s">
        <v>392</v>
      </c>
      <c r="Y146" t="s">
        <v>393</v>
      </c>
      <c r="Z146" s="55" t="str">
        <f>Tabela1[[#This Row],[Material]]&amp;"-"&amp;Tabela1[[#This Row],[Centro
Origem]]&amp;"-"&amp;Tabela1[[#This Row],[Depósito]]&amp;"-"&amp;Tabela1[[#This Row],[Tipo de Avaliação]]&amp;"-"&amp;Tabela1[[#This Row],[Elemento PEP]]</f>
        <v>11323054-4419-JI01-IMOB/NAC-</v>
      </c>
      <c r="AA146" s="58" t="str">
        <f>INDEX(ResumoLotesSUPERBID[Sugestão],MATCH(Tabela1[[#This Row],[Lote]],ResumoLotesSUPERBID[LOTES],0))</f>
        <v>Para Leilão</v>
      </c>
      <c r="AB146" s="56">
        <f>INDEX(ResumoLotesSUPERBID[VMA / Comparação],MATCH(Tabela1[[#This Row],[Lote]],ResumoLotesSUPERBID[LOTES],0))</f>
        <v>0.30692589976744977</v>
      </c>
      <c r="AC146" s="59" t="str">
        <f>INDEX(ResumoLotesSUPERBID[Descrição],MATCH(Tabela1[[#This Row],[Lote]],ResumoLotesSUPERBID[LOTES],0))</f>
        <v>1% do Valor de Comparação do VMA</v>
      </c>
    </row>
    <row r="147" spans="1:29" x14ac:dyDescent="0.25">
      <c r="A147" s="20" t="s">
        <v>333</v>
      </c>
      <c r="B147" t="s">
        <v>47</v>
      </c>
      <c r="D147" s="16" t="s">
        <v>290</v>
      </c>
      <c r="E147" t="s">
        <v>61</v>
      </c>
      <c r="F147" s="22">
        <v>11323056</v>
      </c>
      <c r="G147" t="s">
        <v>334</v>
      </c>
      <c r="H147" s="6">
        <v>4419</v>
      </c>
      <c r="J147" s="6" t="s">
        <v>386</v>
      </c>
      <c r="K147" t="s">
        <v>385</v>
      </c>
      <c r="M147">
        <v>6</v>
      </c>
      <c r="N147" t="s">
        <v>391</v>
      </c>
      <c r="O147" s="7">
        <v>5041.7700000000004</v>
      </c>
      <c r="P147" s="7">
        <f>Tabela1[[#This Row],[Valor Contábil Unitário]]*Tabela1[[#This Row],[Quantidade]]</f>
        <v>30250.620000000003</v>
      </c>
      <c r="Q147" s="7">
        <v>5041.7733333333335</v>
      </c>
      <c r="R147" s="7">
        <f>Tabela1[[#This Row],[Valor de Reposição Unitário]]*Tabela1[[#This Row],[Quantidade]]</f>
        <v>30250.639999999999</v>
      </c>
      <c r="S147" s="48">
        <f>IF(Tabela1[[#This Row],[Valor Contábil Total]]&gt;Tabela1[[#This Row],[Valor total de Reposição]],Tabela1[[#This Row],[Valor Contábil Total]],Tabela1[[#This Row],[Valor total de Reposição]])</f>
        <v>30250.639999999999</v>
      </c>
      <c r="T147" s="7">
        <v>1361.2788</v>
      </c>
      <c r="U147" s="7">
        <f>Tabela1[[#This Row],[VMA - Unitário]]*Tabela1[[#This Row],[Quantidade]]</f>
        <v>8167.6728000000003</v>
      </c>
      <c r="V147" s="48">
        <f>INDEX(ResumoLotesSUPERBID[VMA Total do Lote],MATCH(Tabela1[[#This Row],[Lote]],ResumoLotesSUPERBID[LOTES],0))</f>
        <v>628472.51433000015</v>
      </c>
      <c r="W147" s="57">
        <f>Tabela1[[#This Row],[VMA - Total]]/Tabela1[[#This Row],[VMA total do Lote]]</f>
        <v>1.2996070017011587E-2</v>
      </c>
      <c r="X147" t="s">
        <v>392</v>
      </c>
      <c r="Y147" t="s">
        <v>393</v>
      </c>
      <c r="Z147" s="55" t="str">
        <f>Tabela1[[#This Row],[Material]]&amp;"-"&amp;Tabela1[[#This Row],[Centro
Origem]]&amp;"-"&amp;Tabela1[[#This Row],[Depósito]]&amp;"-"&amp;Tabela1[[#This Row],[Tipo de Avaliação]]&amp;"-"&amp;Tabela1[[#This Row],[Elemento PEP]]</f>
        <v>11323056-4419-JI01-IMOB/NAC-</v>
      </c>
      <c r="AA147" s="58" t="str">
        <f>INDEX(ResumoLotesSUPERBID[Sugestão],MATCH(Tabela1[[#This Row],[Lote]],ResumoLotesSUPERBID[LOTES],0))</f>
        <v>Para Leilão</v>
      </c>
      <c r="AB147" s="56">
        <f>INDEX(ResumoLotesSUPERBID[VMA / Comparação],MATCH(Tabela1[[#This Row],[Lote]],ResumoLotesSUPERBID[LOTES],0))</f>
        <v>0.30692589976744977</v>
      </c>
      <c r="AC147" s="59" t="str">
        <f>INDEX(ResumoLotesSUPERBID[Descrição],MATCH(Tabela1[[#This Row],[Lote]],ResumoLotesSUPERBID[LOTES],0))</f>
        <v>1% do Valor de Comparação do VMA</v>
      </c>
    </row>
    <row r="148" spans="1:29" x14ac:dyDescent="0.25">
      <c r="A148" s="20" t="s">
        <v>335</v>
      </c>
      <c r="B148" t="s">
        <v>47</v>
      </c>
      <c r="D148" s="16" t="s">
        <v>290</v>
      </c>
      <c r="E148" t="s">
        <v>61</v>
      </c>
      <c r="F148" s="22">
        <v>11323224</v>
      </c>
      <c r="G148" t="s">
        <v>336</v>
      </c>
      <c r="H148" s="6">
        <v>4419</v>
      </c>
      <c r="J148" s="6" t="s">
        <v>386</v>
      </c>
      <c r="K148" t="s">
        <v>385</v>
      </c>
      <c r="M148">
        <v>5</v>
      </c>
      <c r="N148" t="s">
        <v>391</v>
      </c>
      <c r="O148" s="7">
        <v>6024.32</v>
      </c>
      <c r="P148" s="7">
        <f>Tabela1[[#This Row],[Valor Contábil Unitário]]*Tabela1[[#This Row],[Quantidade]]</f>
        <v>30121.599999999999</v>
      </c>
      <c r="Q148" s="7">
        <v>6024.3239999999996</v>
      </c>
      <c r="R148" s="7">
        <f>Tabela1[[#This Row],[Valor de Reposição Unitário]]*Tabela1[[#This Row],[Quantidade]]</f>
        <v>30121.62</v>
      </c>
      <c r="S148" s="48">
        <f>IF(Tabela1[[#This Row],[Valor Contábil Total]]&gt;Tabela1[[#This Row],[Valor total de Reposição]],Tabela1[[#This Row],[Valor Contábil Total]],Tabela1[[#This Row],[Valor total de Reposição]])</f>
        <v>30121.62</v>
      </c>
      <c r="T148" s="7">
        <v>1626.5674800000002</v>
      </c>
      <c r="U148" s="7">
        <f>Tabela1[[#This Row],[VMA - Unitário]]*Tabela1[[#This Row],[Quantidade]]</f>
        <v>8132.8374000000003</v>
      </c>
      <c r="V148" s="48">
        <f>INDEX(ResumoLotesSUPERBID[VMA Total do Lote],MATCH(Tabela1[[#This Row],[Lote]],ResumoLotesSUPERBID[LOTES],0))</f>
        <v>628472.51433000015</v>
      </c>
      <c r="W148" s="57">
        <f>Tabela1[[#This Row],[VMA - Total]]/Tabela1[[#This Row],[VMA total do Lote]]</f>
        <v>1.2940641340011867E-2</v>
      </c>
      <c r="X148" t="s">
        <v>392</v>
      </c>
      <c r="Y148" t="s">
        <v>393</v>
      </c>
      <c r="Z148" s="55" t="str">
        <f>Tabela1[[#This Row],[Material]]&amp;"-"&amp;Tabela1[[#This Row],[Centro
Origem]]&amp;"-"&amp;Tabela1[[#This Row],[Depósito]]&amp;"-"&amp;Tabela1[[#This Row],[Tipo de Avaliação]]&amp;"-"&amp;Tabela1[[#This Row],[Elemento PEP]]</f>
        <v>11323224-4419-JI01-IMOB/NAC-</v>
      </c>
      <c r="AA148" s="58" t="str">
        <f>INDEX(ResumoLotesSUPERBID[Sugestão],MATCH(Tabela1[[#This Row],[Lote]],ResumoLotesSUPERBID[LOTES],0))</f>
        <v>Para Leilão</v>
      </c>
      <c r="AB148" s="56">
        <f>INDEX(ResumoLotesSUPERBID[VMA / Comparação],MATCH(Tabela1[[#This Row],[Lote]],ResumoLotesSUPERBID[LOTES],0))</f>
        <v>0.30692589976744977</v>
      </c>
      <c r="AC148" s="59" t="str">
        <f>INDEX(ResumoLotesSUPERBID[Descrição],MATCH(Tabela1[[#This Row],[Lote]],ResumoLotesSUPERBID[LOTES],0))</f>
        <v>1% do Valor de Comparação do VMA</v>
      </c>
    </row>
    <row r="149" spans="1:29" x14ac:dyDescent="0.25">
      <c r="A149" s="20" t="s">
        <v>337</v>
      </c>
      <c r="B149" t="s">
        <v>47</v>
      </c>
      <c r="D149" s="16" t="s">
        <v>290</v>
      </c>
      <c r="E149" t="s">
        <v>61</v>
      </c>
      <c r="F149" s="22">
        <v>11012164</v>
      </c>
      <c r="G149" t="s">
        <v>338</v>
      </c>
      <c r="H149" s="6">
        <v>4419</v>
      </c>
      <c r="J149" s="6" t="s">
        <v>386</v>
      </c>
      <c r="K149" t="s">
        <v>385</v>
      </c>
      <c r="M149">
        <v>1</v>
      </c>
      <c r="N149" t="s">
        <v>391</v>
      </c>
      <c r="O149" s="7">
        <v>7034.81</v>
      </c>
      <c r="P149" s="7">
        <f>Tabela1[[#This Row],[Valor Contábil Unitário]]*Tabela1[[#This Row],[Quantidade]]</f>
        <v>7034.81</v>
      </c>
      <c r="Q149" s="7">
        <v>7034.81</v>
      </c>
      <c r="R149" s="7">
        <f>Tabela1[[#This Row],[Valor de Reposição Unitário]]*Tabela1[[#This Row],[Quantidade]]</f>
        <v>7034.81</v>
      </c>
      <c r="S149" s="48">
        <f>IF(Tabela1[[#This Row],[Valor Contábil Total]]&gt;Tabela1[[#This Row],[Valor total de Reposição]],Tabela1[[#This Row],[Valor Contábil Total]],Tabela1[[#This Row],[Valor total de Reposição]])</f>
        <v>7034.81</v>
      </c>
      <c r="T149" s="7">
        <v>1899.3987000000002</v>
      </c>
      <c r="U149" s="7">
        <f>Tabela1[[#This Row],[VMA - Unitário]]*Tabela1[[#This Row],[Quantidade]]</f>
        <v>1899.3987000000002</v>
      </c>
      <c r="V149" s="48">
        <f>INDEX(ResumoLotesSUPERBID[VMA Total do Lote],MATCH(Tabela1[[#This Row],[Lote]],ResumoLotesSUPERBID[LOTES],0))</f>
        <v>628472.51433000015</v>
      </c>
      <c r="W149" s="57">
        <f>Tabela1[[#This Row],[VMA - Total]]/Tabela1[[#This Row],[VMA total do Lote]]</f>
        <v>3.0222462505379486E-3</v>
      </c>
      <c r="X149" t="s">
        <v>392</v>
      </c>
      <c r="Y149" t="s">
        <v>393</v>
      </c>
      <c r="Z149" s="55" t="str">
        <f>Tabela1[[#This Row],[Material]]&amp;"-"&amp;Tabela1[[#This Row],[Centro
Origem]]&amp;"-"&amp;Tabela1[[#This Row],[Depósito]]&amp;"-"&amp;Tabela1[[#This Row],[Tipo de Avaliação]]&amp;"-"&amp;Tabela1[[#This Row],[Elemento PEP]]</f>
        <v>11012164-4419-JI01-IMOB/NAC-</v>
      </c>
      <c r="AA149" s="58" t="str">
        <f>INDEX(ResumoLotesSUPERBID[Sugestão],MATCH(Tabela1[[#This Row],[Lote]],ResumoLotesSUPERBID[LOTES],0))</f>
        <v>Para Leilão</v>
      </c>
      <c r="AB149" s="56">
        <f>INDEX(ResumoLotesSUPERBID[VMA / Comparação],MATCH(Tabela1[[#This Row],[Lote]],ResumoLotesSUPERBID[LOTES],0))</f>
        <v>0.30692589976744977</v>
      </c>
      <c r="AC149" s="59" t="str">
        <f>INDEX(ResumoLotesSUPERBID[Descrição],MATCH(Tabela1[[#This Row],[Lote]],ResumoLotesSUPERBID[LOTES],0))</f>
        <v>1% do Valor de Comparação do VMA</v>
      </c>
    </row>
    <row r="150" spans="1:29" x14ac:dyDescent="0.25">
      <c r="A150" s="20" t="s">
        <v>339</v>
      </c>
      <c r="B150" t="s">
        <v>47</v>
      </c>
      <c r="D150" s="16" t="s">
        <v>290</v>
      </c>
      <c r="E150" t="s">
        <v>61</v>
      </c>
      <c r="F150" s="22">
        <v>11323239</v>
      </c>
      <c r="G150" t="s">
        <v>336</v>
      </c>
      <c r="H150" s="6">
        <v>4419</v>
      </c>
      <c r="J150" s="6" t="s">
        <v>386</v>
      </c>
      <c r="K150" t="s">
        <v>385</v>
      </c>
      <c r="M150">
        <v>6</v>
      </c>
      <c r="N150" t="s">
        <v>391</v>
      </c>
      <c r="O150" s="7">
        <v>11243.91</v>
      </c>
      <c r="P150" s="7">
        <f>Tabela1[[#This Row],[Valor Contábil Unitário]]*Tabela1[[#This Row],[Quantidade]]</f>
        <v>67463.459999999992</v>
      </c>
      <c r="Q150" s="7">
        <v>11243.904999999999</v>
      </c>
      <c r="R150" s="7">
        <f>Tabela1[[#This Row],[Valor de Reposição Unitário]]*Tabela1[[#This Row],[Quantidade]]</f>
        <v>67463.429999999993</v>
      </c>
      <c r="S150" s="48">
        <f>IF(Tabela1[[#This Row],[Valor Contábil Total]]&gt;Tabela1[[#This Row],[Valor total de Reposição]],Tabela1[[#This Row],[Valor Contábil Total]],Tabela1[[#This Row],[Valor total de Reposição]])</f>
        <v>67463.459999999992</v>
      </c>
      <c r="T150" s="7">
        <v>4047.8058000000001</v>
      </c>
      <c r="U150" s="7">
        <f>Tabela1[[#This Row],[VMA - Unitário]]*Tabela1[[#This Row],[Quantidade]]</f>
        <v>24286.834800000001</v>
      </c>
      <c r="V150" s="48">
        <f>INDEX(ResumoLotesSUPERBID[VMA Total do Lote],MATCH(Tabela1[[#This Row],[Lote]],ResumoLotesSUPERBID[LOTES],0))</f>
        <v>628472.51433000015</v>
      </c>
      <c r="W150" s="57">
        <f>Tabela1[[#This Row],[VMA - Total]]/Tabela1[[#This Row],[VMA total do Lote]]</f>
        <v>3.8644227466163139E-2</v>
      </c>
      <c r="X150" t="s">
        <v>392</v>
      </c>
      <c r="Y150" t="s">
        <v>393</v>
      </c>
      <c r="Z150" s="55" t="str">
        <f>Tabela1[[#This Row],[Material]]&amp;"-"&amp;Tabela1[[#This Row],[Centro
Origem]]&amp;"-"&amp;Tabela1[[#This Row],[Depósito]]&amp;"-"&amp;Tabela1[[#This Row],[Tipo de Avaliação]]&amp;"-"&amp;Tabela1[[#This Row],[Elemento PEP]]</f>
        <v>11323239-4419-JI01-IMOB/NAC-</v>
      </c>
      <c r="AA150" s="58" t="str">
        <f>INDEX(ResumoLotesSUPERBID[Sugestão],MATCH(Tabela1[[#This Row],[Lote]],ResumoLotesSUPERBID[LOTES],0))</f>
        <v>Para Leilão</v>
      </c>
      <c r="AB150" s="56">
        <f>INDEX(ResumoLotesSUPERBID[VMA / Comparação],MATCH(Tabela1[[#This Row],[Lote]],ResumoLotesSUPERBID[LOTES],0))</f>
        <v>0.30692589976744977</v>
      </c>
      <c r="AC150" s="59" t="str">
        <f>INDEX(ResumoLotesSUPERBID[Descrição],MATCH(Tabela1[[#This Row],[Lote]],ResumoLotesSUPERBID[LOTES],0))</f>
        <v>1% do Valor de Comparação do VMA</v>
      </c>
    </row>
    <row r="151" spans="1:29" x14ac:dyDescent="0.25">
      <c r="A151" s="20" t="s">
        <v>340</v>
      </c>
      <c r="B151" t="s">
        <v>47</v>
      </c>
      <c r="D151" s="16" t="s">
        <v>290</v>
      </c>
      <c r="E151" t="s">
        <v>61</v>
      </c>
      <c r="F151" s="22">
        <v>11323241</v>
      </c>
      <c r="G151" t="s">
        <v>336</v>
      </c>
      <c r="H151" s="6">
        <v>4419</v>
      </c>
      <c r="J151" s="6" t="s">
        <v>386</v>
      </c>
      <c r="K151" t="s">
        <v>385</v>
      </c>
      <c r="M151">
        <v>6</v>
      </c>
      <c r="N151" t="s">
        <v>391</v>
      </c>
      <c r="O151" s="7">
        <v>6509.63</v>
      </c>
      <c r="P151" s="7">
        <f>Tabela1[[#This Row],[Valor Contábil Unitário]]*Tabela1[[#This Row],[Quantidade]]</f>
        <v>39057.78</v>
      </c>
      <c r="Q151" s="7">
        <v>6509.625</v>
      </c>
      <c r="R151" s="7">
        <f>Tabela1[[#This Row],[Valor de Reposição Unitário]]*Tabela1[[#This Row],[Quantidade]]</f>
        <v>39057.75</v>
      </c>
      <c r="S151" s="48">
        <f>IF(Tabela1[[#This Row],[Valor Contábil Total]]&gt;Tabela1[[#This Row],[Valor total de Reposição]],Tabela1[[#This Row],[Valor Contábil Total]],Tabela1[[#This Row],[Valor total de Reposição]])</f>
        <v>39057.78</v>
      </c>
      <c r="T151" s="7">
        <v>2343.4650000000001</v>
      </c>
      <c r="U151" s="7">
        <f>Tabela1[[#This Row],[VMA - Unitário]]*Tabela1[[#This Row],[Quantidade]]</f>
        <v>14060.79</v>
      </c>
      <c r="V151" s="48">
        <f>INDEX(ResumoLotesSUPERBID[VMA Total do Lote],MATCH(Tabela1[[#This Row],[Lote]],ResumoLotesSUPERBID[LOTES],0))</f>
        <v>628472.51433000015</v>
      </c>
      <c r="W151" s="57">
        <f>Tabela1[[#This Row],[VMA - Total]]/Tabela1[[#This Row],[VMA total do Lote]]</f>
        <v>2.2372959325022958E-2</v>
      </c>
      <c r="X151" t="s">
        <v>392</v>
      </c>
      <c r="Y151" t="s">
        <v>393</v>
      </c>
      <c r="Z151" s="55" t="str">
        <f>Tabela1[[#This Row],[Material]]&amp;"-"&amp;Tabela1[[#This Row],[Centro
Origem]]&amp;"-"&amp;Tabela1[[#This Row],[Depósito]]&amp;"-"&amp;Tabela1[[#This Row],[Tipo de Avaliação]]&amp;"-"&amp;Tabela1[[#This Row],[Elemento PEP]]</f>
        <v>11323241-4419-JI01-IMOB/NAC-</v>
      </c>
      <c r="AA151" s="58" t="str">
        <f>INDEX(ResumoLotesSUPERBID[Sugestão],MATCH(Tabela1[[#This Row],[Lote]],ResumoLotesSUPERBID[LOTES],0))</f>
        <v>Para Leilão</v>
      </c>
      <c r="AB151" s="56">
        <f>INDEX(ResumoLotesSUPERBID[VMA / Comparação],MATCH(Tabela1[[#This Row],[Lote]],ResumoLotesSUPERBID[LOTES],0))</f>
        <v>0.30692589976744977</v>
      </c>
      <c r="AC151" s="59" t="str">
        <f>INDEX(ResumoLotesSUPERBID[Descrição],MATCH(Tabela1[[#This Row],[Lote]],ResumoLotesSUPERBID[LOTES],0))</f>
        <v>1% do Valor de Comparação do VMA</v>
      </c>
    </row>
    <row r="152" spans="1:29" x14ac:dyDescent="0.25">
      <c r="A152" s="20" t="s">
        <v>341</v>
      </c>
      <c r="B152" t="s">
        <v>47</v>
      </c>
      <c r="D152" s="16" t="s">
        <v>290</v>
      </c>
      <c r="E152" t="s">
        <v>61</v>
      </c>
      <c r="F152" s="22">
        <v>11323275</v>
      </c>
      <c r="G152" t="s">
        <v>342</v>
      </c>
      <c r="H152" s="6">
        <v>4419</v>
      </c>
      <c r="J152" s="6" t="s">
        <v>386</v>
      </c>
      <c r="K152" t="s">
        <v>385</v>
      </c>
      <c r="M152">
        <v>4</v>
      </c>
      <c r="N152" t="s">
        <v>391</v>
      </c>
      <c r="O152" s="7">
        <v>20419.18</v>
      </c>
      <c r="P152" s="7">
        <f>Tabela1[[#This Row],[Valor Contábil Unitário]]*Tabela1[[#This Row],[Quantidade]]</f>
        <v>81676.72</v>
      </c>
      <c r="Q152" s="7">
        <v>20419.174999999999</v>
      </c>
      <c r="R152" s="7">
        <f>Tabela1[[#This Row],[Valor de Reposição Unitário]]*Tabela1[[#This Row],[Quantidade]]</f>
        <v>81676.7</v>
      </c>
      <c r="S152" s="48">
        <f>IF(Tabela1[[#This Row],[Valor Contábil Total]]&gt;Tabela1[[#This Row],[Valor total de Reposição]],Tabela1[[#This Row],[Valor Contábil Total]],Tabela1[[#This Row],[Valor total de Reposição]])</f>
        <v>81676.72</v>
      </c>
      <c r="T152" s="7">
        <v>5513.1772499999997</v>
      </c>
      <c r="U152" s="7">
        <f>Tabela1[[#This Row],[VMA - Unitário]]*Tabela1[[#This Row],[Quantidade]]</f>
        <v>22052.708999999999</v>
      </c>
      <c r="V152" s="48">
        <f>INDEX(ResumoLotesSUPERBID[VMA Total do Lote],MATCH(Tabela1[[#This Row],[Lote]],ResumoLotesSUPERBID[LOTES],0))</f>
        <v>628472.51433000015</v>
      </c>
      <c r="W152" s="57">
        <f>Tabela1[[#This Row],[VMA - Total]]/Tabela1[[#This Row],[VMA total do Lote]]</f>
        <v>3.5089377016765601E-2</v>
      </c>
      <c r="X152" t="s">
        <v>392</v>
      </c>
      <c r="Y152" t="s">
        <v>393</v>
      </c>
      <c r="Z152" s="55" t="str">
        <f>Tabela1[[#This Row],[Material]]&amp;"-"&amp;Tabela1[[#This Row],[Centro
Origem]]&amp;"-"&amp;Tabela1[[#This Row],[Depósito]]&amp;"-"&amp;Tabela1[[#This Row],[Tipo de Avaliação]]&amp;"-"&amp;Tabela1[[#This Row],[Elemento PEP]]</f>
        <v>11323275-4419-JI01-IMOB/NAC-</v>
      </c>
      <c r="AA152" s="58" t="str">
        <f>INDEX(ResumoLotesSUPERBID[Sugestão],MATCH(Tabela1[[#This Row],[Lote]],ResumoLotesSUPERBID[LOTES],0))</f>
        <v>Para Leilão</v>
      </c>
      <c r="AB152" s="56">
        <f>INDEX(ResumoLotesSUPERBID[VMA / Comparação],MATCH(Tabela1[[#This Row],[Lote]],ResumoLotesSUPERBID[LOTES],0))</f>
        <v>0.30692589976744977</v>
      </c>
      <c r="AC152" s="59" t="str">
        <f>INDEX(ResumoLotesSUPERBID[Descrição],MATCH(Tabela1[[#This Row],[Lote]],ResumoLotesSUPERBID[LOTES],0))</f>
        <v>1% do Valor de Comparação do VMA</v>
      </c>
    </row>
    <row r="153" spans="1:29" x14ac:dyDescent="0.25">
      <c r="A153" s="20" t="s">
        <v>343</v>
      </c>
      <c r="B153" t="s">
        <v>47</v>
      </c>
      <c r="D153" s="16" t="s">
        <v>290</v>
      </c>
      <c r="E153" t="s">
        <v>61</v>
      </c>
      <c r="F153" s="22">
        <v>11323397</v>
      </c>
      <c r="G153" t="s">
        <v>344</v>
      </c>
      <c r="H153" s="6">
        <v>4419</v>
      </c>
      <c r="J153" s="6" t="s">
        <v>386</v>
      </c>
      <c r="K153" t="s">
        <v>385</v>
      </c>
      <c r="M153">
        <v>6</v>
      </c>
      <c r="N153" t="s">
        <v>391</v>
      </c>
      <c r="O153" s="7">
        <v>7617.95</v>
      </c>
      <c r="P153" s="7">
        <f>Tabela1[[#This Row],[Valor Contábil Unitário]]*Tabela1[[#This Row],[Quantidade]]</f>
        <v>45707.7</v>
      </c>
      <c r="Q153" s="7">
        <v>7617.9466666666667</v>
      </c>
      <c r="R153" s="7">
        <f>Tabela1[[#This Row],[Valor de Reposição Unitário]]*Tabela1[[#This Row],[Quantidade]]</f>
        <v>45707.68</v>
      </c>
      <c r="S153" s="48">
        <f>IF(Tabela1[[#This Row],[Valor Contábil Total]]&gt;Tabela1[[#This Row],[Valor total de Reposição]],Tabela1[[#This Row],[Valor Contábil Total]],Tabela1[[#This Row],[Valor total de Reposição]])</f>
        <v>45707.7</v>
      </c>
      <c r="T153" s="7">
        <v>2056.8456000000001</v>
      </c>
      <c r="U153" s="7">
        <f>Tabela1[[#This Row],[VMA - Unitário]]*Tabela1[[#This Row],[Quantidade]]</f>
        <v>12341.0736</v>
      </c>
      <c r="V153" s="48">
        <f>INDEX(ResumoLotesSUPERBID[VMA Total do Lote],MATCH(Tabela1[[#This Row],[Lote]],ResumoLotesSUPERBID[LOTES],0))</f>
        <v>628472.51433000015</v>
      </c>
      <c r="W153" s="57">
        <f>Tabela1[[#This Row],[VMA - Total]]/Tabela1[[#This Row],[VMA total do Lote]]</f>
        <v>1.9636616269776776E-2</v>
      </c>
      <c r="X153" t="s">
        <v>392</v>
      </c>
      <c r="Y153" t="s">
        <v>393</v>
      </c>
      <c r="Z153" s="55" t="str">
        <f>Tabela1[[#This Row],[Material]]&amp;"-"&amp;Tabela1[[#This Row],[Centro
Origem]]&amp;"-"&amp;Tabela1[[#This Row],[Depósito]]&amp;"-"&amp;Tabela1[[#This Row],[Tipo de Avaliação]]&amp;"-"&amp;Tabela1[[#This Row],[Elemento PEP]]</f>
        <v>11323397-4419-JI01-IMOB/NAC-</v>
      </c>
      <c r="AA153" s="58" t="str">
        <f>INDEX(ResumoLotesSUPERBID[Sugestão],MATCH(Tabela1[[#This Row],[Lote]],ResumoLotesSUPERBID[LOTES],0))</f>
        <v>Para Leilão</v>
      </c>
      <c r="AB153" s="56">
        <f>INDEX(ResumoLotesSUPERBID[VMA / Comparação],MATCH(Tabela1[[#This Row],[Lote]],ResumoLotesSUPERBID[LOTES],0))</f>
        <v>0.30692589976744977</v>
      </c>
      <c r="AC153" s="59" t="str">
        <f>INDEX(ResumoLotesSUPERBID[Descrição],MATCH(Tabela1[[#This Row],[Lote]],ResumoLotesSUPERBID[LOTES],0))</f>
        <v>1% do Valor de Comparação do VMA</v>
      </c>
    </row>
    <row r="154" spans="1:29" x14ac:dyDescent="0.25">
      <c r="A154" s="20" t="s">
        <v>345</v>
      </c>
      <c r="B154" t="s">
        <v>47</v>
      </c>
      <c r="D154" s="16" t="s">
        <v>290</v>
      </c>
      <c r="E154" t="s">
        <v>61</v>
      </c>
      <c r="F154" s="22">
        <v>11012238</v>
      </c>
      <c r="G154" t="s">
        <v>346</v>
      </c>
      <c r="H154" s="6">
        <v>4419</v>
      </c>
      <c r="J154" s="6" t="s">
        <v>386</v>
      </c>
      <c r="K154" t="s">
        <v>385</v>
      </c>
      <c r="M154">
        <v>1</v>
      </c>
      <c r="N154" t="s">
        <v>391</v>
      </c>
      <c r="O154" s="7">
        <v>4977.3500000000004</v>
      </c>
      <c r="P154" s="7">
        <f>Tabela1[[#This Row],[Valor Contábil Unitário]]*Tabela1[[#This Row],[Quantidade]]</f>
        <v>4977.3500000000004</v>
      </c>
      <c r="Q154" s="7">
        <v>4977.3500000000004</v>
      </c>
      <c r="R154" s="7">
        <f>Tabela1[[#This Row],[Valor de Reposição Unitário]]*Tabela1[[#This Row],[Quantidade]]</f>
        <v>4977.3500000000004</v>
      </c>
      <c r="S154" s="48">
        <f>IF(Tabela1[[#This Row],[Valor Contábil Total]]&gt;Tabela1[[#This Row],[Valor total de Reposição]],Tabela1[[#This Row],[Valor Contábil Total]],Tabela1[[#This Row],[Valor total de Reposição]])</f>
        <v>4977.3500000000004</v>
      </c>
      <c r="T154" s="7">
        <v>1343.8845000000001</v>
      </c>
      <c r="U154" s="7">
        <f>Tabela1[[#This Row],[VMA - Unitário]]*Tabela1[[#This Row],[Quantidade]]</f>
        <v>1343.8845000000001</v>
      </c>
      <c r="V154" s="48">
        <f>INDEX(ResumoLotesSUPERBID[VMA Total do Lote],MATCH(Tabela1[[#This Row],[Lote]],ResumoLotesSUPERBID[LOTES],0))</f>
        <v>628472.51433000015</v>
      </c>
      <c r="W154" s="57">
        <f>Tabela1[[#This Row],[VMA - Total]]/Tabela1[[#This Row],[VMA total do Lote]]</f>
        <v>2.1383345641339366E-3</v>
      </c>
      <c r="X154" t="s">
        <v>392</v>
      </c>
      <c r="Y154" t="s">
        <v>393</v>
      </c>
      <c r="Z154" s="55" t="str">
        <f>Tabela1[[#This Row],[Material]]&amp;"-"&amp;Tabela1[[#This Row],[Centro
Origem]]&amp;"-"&amp;Tabela1[[#This Row],[Depósito]]&amp;"-"&amp;Tabela1[[#This Row],[Tipo de Avaliação]]&amp;"-"&amp;Tabela1[[#This Row],[Elemento PEP]]</f>
        <v>11012238-4419-JI01-IMOB/NAC-</v>
      </c>
      <c r="AA154" s="58" t="str">
        <f>INDEX(ResumoLotesSUPERBID[Sugestão],MATCH(Tabela1[[#This Row],[Lote]],ResumoLotesSUPERBID[LOTES],0))</f>
        <v>Para Leilão</v>
      </c>
      <c r="AB154" s="56">
        <f>INDEX(ResumoLotesSUPERBID[VMA / Comparação],MATCH(Tabela1[[#This Row],[Lote]],ResumoLotesSUPERBID[LOTES],0))</f>
        <v>0.30692589976744977</v>
      </c>
      <c r="AC154" s="59" t="str">
        <f>INDEX(ResumoLotesSUPERBID[Descrição],MATCH(Tabela1[[#This Row],[Lote]],ResumoLotesSUPERBID[LOTES],0))</f>
        <v>1% do Valor de Comparação do VMA</v>
      </c>
    </row>
    <row r="155" spans="1:29" x14ac:dyDescent="0.25">
      <c r="A155" s="20" t="s">
        <v>347</v>
      </c>
      <c r="B155" t="s">
        <v>47</v>
      </c>
      <c r="D155" s="16" t="s">
        <v>290</v>
      </c>
      <c r="E155" t="s">
        <v>61</v>
      </c>
      <c r="F155" s="22">
        <v>11323400</v>
      </c>
      <c r="G155" t="s">
        <v>348</v>
      </c>
      <c r="H155" s="6">
        <v>4419</v>
      </c>
      <c r="J155" s="6" t="s">
        <v>386</v>
      </c>
      <c r="K155" t="s">
        <v>385</v>
      </c>
      <c r="M155">
        <v>6</v>
      </c>
      <c r="N155" t="s">
        <v>391</v>
      </c>
      <c r="O155" s="7">
        <v>14321.17</v>
      </c>
      <c r="P155" s="7">
        <f>Tabela1[[#This Row],[Valor Contábil Unitário]]*Tabela1[[#This Row],[Quantidade]]</f>
        <v>85927.02</v>
      </c>
      <c r="Q155" s="7">
        <v>14321.171666666667</v>
      </c>
      <c r="R155" s="7">
        <f>Tabela1[[#This Row],[Valor de Reposição Unitário]]*Tabela1[[#This Row],[Quantidade]]</f>
        <v>85927.03</v>
      </c>
      <c r="S155" s="48">
        <f>IF(Tabela1[[#This Row],[Valor Contábil Total]]&gt;Tabela1[[#This Row],[Valor total de Reposição]],Tabela1[[#This Row],[Valor Contábil Total]],Tabela1[[#This Row],[Valor total de Reposição]])</f>
        <v>85927.03</v>
      </c>
      <c r="T155" s="7">
        <v>3866.7163500000001</v>
      </c>
      <c r="U155" s="7">
        <f>Tabela1[[#This Row],[VMA - Unitário]]*Tabela1[[#This Row],[Quantidade]]</f>
        <v>23200.2981</v>
      </c>
      <c r="V155" s="48">
        <f>INDEX(ResumoLotesSUPERBID[VMA Total do Lote],MATCH(Tabela1[[#This Row],[Lote]],ResumoLotesSUPERBID[LOTES],0))</f>
        <v>628472.51433000015</v>
      </c>
      <c r="W155" s="57">
        <f>Tabela1[[#This Row],[VMA - Total]]/Tabela1[[#This Row],[VMA total do Lote]]</f>
        <v>3.6915374294026679E-2</v>
      </c>
      <c r="X155" t="s">
        <v>392</v>
      </c>
      <c r="Y155" t="s">
        <v>393</v>
      </c>
      <c r="Z155" s="55" t="str">
        <f>Tabela1[[#This Row],[Material]]&amp;"-"&amp;Tabela1[[#This Row],[Centro
Origem]]&amp;"-"&amp;Tabela1[[#This Row],[Depósito]]&amp;"-"&amp;Tabela1[[#This Row],[Tipo de Avaliação]]&amp;"-"&amp;Tabela1[[#This Row],[Elemento PEP]]</f>
        <v>11323400-4419-JI01-IMOB/NAC-</v>
      </c>
      <c r="AA155" s="58" t="str">
        <f>INDEX(ResumoLotesSUPERBID[Sugestão],MATCH(Tabela1[[#This Row],[Lote]],ResumoLotesSUPERBID[LOTES],0))</f>
        <v>Para Leilão</v>
      </c>
      <c r="AB155" s="56">
        <f>INDEX(ResumoLotesSUPERBID[VMA / Comparação],MATCH(Tabela1[[#This Row],[Lote]],ResumoLotesSUPERBID[LOTES],0))</f>
        <v>0.30692589976744977</v>
      </c>
      <c r="AC155" s="59" t="str">
        <f>INDEX(ResumoLotesSUPERBID[Descrição],MATCH(Tabela1[[#This Row],[Lote]],ResumoLotesSUPERBID[LOTES],0))</f>
        <v>1% do Valor de Comparação do VMA</v>
      </c>
    </row>
    <row r="156" spans="1:29" x14ac:dyDescent="0.25">
      <c r="A156" s="20" t="s">
        <v>349</v>
      </c>
      <c r="B156" t="s">
        <v>47</v>
      </c>
      <c r="D156" s="16" t="s">
        <v>290</v>
      </c>
      <c r="E156" t="s">
        <v>61</v>
      </c>
      <c r="F156" s="22">
        <v>11323401</v>
      </c>
      <c r="G156" t="s">
        <v>350</v>
      </c>
      <c r="H156" s="6">
        <v>4419</v>
      </c>
      <c r="J156" s="6" t="s">
        <v>386</v>
      </c>
      <c r="K156" t="s">
        <v>385</v>
      </c>
      <c r="M156">
        <v>1</v>
      </c>
      <c r="N156" t="s">
        <v>391</v>
      </c>
      <c r="O156" s="7">
        <v>3787.42</v>
      </c>
      <c r="P156" s="7">
        <f>Tabela1[[#This Row],[Valor Contábil Unitário]]*Tabela1[[#This Row],[Quantidade]]</f>
        <v>3787.42</v>
      </c>
      <c r="Q156" s="7">
        <v>3787.42</v>
      </c>
      <c r="R156" s="7">
        <f>Tabela1[[#This Row],[Valor de Reposição Unitário]]*Tabela1[[#This Row],[Quantidade]]</f>
        <v>3787.42</v>
      </c>
      <c r="S156" s="48">
        <f>IF(Tabela1[[#This Row],[Valor Contábil Total]]&gt;Tabela1[[#This Row],[Valor total de Reposição]],Tabela1[[#This Row],[Valor Contábil Total]],Tabela1[[#This Row],[Valor total de Reposição]])</f>
        <v>3787.42</v>
      </c>
      <c r="T156" s="7">
        <v>1022.6034000000001</v>
      </c>
      <c r="U156" s="7">
        <f>Tabela1[[#This Row],[VMA - Unitário]]*Tabela1[[#This Row],[Quantidade]]</f>
        <v>1022.6034000000001</v>
      </c>
      <c r="V156" s="48">
        <f>INDEX(ResumoLotesSUPERBID[VMA Total do Lote],MATCH(Tabela1[[#This Row],[Lote]],ResumoLotesSUPERBID[LOTES],0))</f>
        <v>628472.51433000015</v>
      </c>
      <c r="W156" s="57">
        <f>Tabela1[[#This Row],[VMA - Total]]/Tabela1[[#This Row],[VMA total do Lote]]</f>
        <v>1.6271250956617787E-3</v>
      </c>
      <c r="X156" t="s">
        <v>392</v>
      </c>
      <c r="Y156" t="s">
        <v>393</v>
      </c>
      <c r="Z156" s="55" t="str">
        <f>Tabela1[[#This Row],[Material]]&amp;"-"&amp;Tabela1[[#This Row],[Centro
Origem]]&amp;"-"&amp;Tabela1[[#This Row],[Depósito]]&amp;"-"&amp;Tabela1[[#This Row],[Tipo de Avaliação]]&amp;"-"&amp;Tabela1[[#This Row],[Elemento PEP]]</f>
        <v>11323401-4419-JI01-IMOB/NAC-</v>
      </c>
      <c r="AA156" s="58" t="str">
        <f>INDEX(ResumoLotesSUPERBID[Sugestão],MATCH(Tabela1[[#This Row],[Lote]],ResumoLotesSUPERBID[LOTES],0))</f>
        <v>Para Leilão</v>
      </c>
      <c r="AB156" s="56">
        <f>INDEX(ResumoLotesSUPERBID[VMA / Comparação],MATCH(Tabela1[[#This Row],[Lote]],ResumoLotesSUPERBID[LOTES],0))</f>
        <v>0.30692589976744977</v>
      </c>
      <c r="AC156" s="59" t="str">
        <f>INDEX(ResumoLotesSUPERBID[Descrição],MATCH(Tabela1[[#This Row],[Lote]],ResumoLotesSUPERBID[LOTES],0))</f>
        <v>1% do Valor de Comparação do VMA</v>
      </c>
    </row>
    <row r="157" spans="1:29" x14ac:dyDescent="0.25">
      <c r="A157" s="20" t="s">
        <v>351</v>
      </c>
      <c r="B157" t="s">
        <v>47</v>
      </c>
      <c r="D157" s="16" t="s">
        <v>290</v>
      </c>
      <c r="E157" t="s">
        <v>61</v>
      </c>
      <c r="F157" s="22">
        <v>11323440</v>
      </c>
      <c r="G157" t="s">
        <v>352</v>
      </c>
      <c r="H157" s="6">
        <v>4419</v>
      </c>
      <c r="J157" s="6" t="s">
        <v>386</v>
      </c>
      <c r="K157" t="s">
        <v>385</v>
      </c>
      <c r="M157">
        <v>2</v>
      </c>
      <c r="N157" t="s">
        <v>391</v>
      </c>
      <c r="O157" s="7">
        <v>5924.08</v>
      </c>
      <c r="P157" s="7">
        <f>Tabela1[[#This Row],[Valor Contábil Unitário]]*Tabela1[[#This Row],[Quantidade]]</f>
        <v>11848.16</v>
      </c>
      <c r="Q157" s="7">
        <v>5924.08</v>
      </c>
      <c r="R157" s="7">
        <f>Tabela1[[#This Row],[Valor de Reposição Unitário]]*Tabela1[[#This Row],[Quantidade]]</f>
        <v>11848.16</v>
      </c>
      <c r="S157" s="48">
        <f>IF(Tabela1[[#This Row],[Valor Contábil Total]]&gt;Tabela1[[#This Row],[Valor total de Reposição]],Tabela1[[#This Row],[Valor Contábil Total]],Tabela1[[#This Row],[Valor total de Reposição]])</f>
        <v>11848.16</v>
      </c>
      <c r="T157" s="7">
        <v>1599.5016000000001</v>
      </c>
      <c r="U157" s="7">
        <f>Tabela1[[#This Row],[VMA - Unitário]]*Tabela1[[#This Row],[Quantidade]]</f>
        <v>3199.0032000000001</v>
      </c>
      <c r="V157" s="48">
        <f>INDEX(ResumoLotesSUPERBID[VMA Total do Lote],MATCH(Tabela1[[#This Row],[Lote]],ResumoLotesSUPERBID[LOTES],0))</f>
        <v>628472.51433000015</v>
      </c>
      <c r="W157" s="57">
        <f>Tabela1[[#This Row],[VMA - Total]]/Tabela1[[#This Row],[VMA total do Lote]]</f>
        <v>5.0901242728337648E-3</v>
      </c>
      <c r="X157" t="s">
        <v>392</v>
      </c>
      <c r="Y157" t="s">
        <v>393</v>
      </c>
      <c r="Z157" s="55" t="str">
        <f>Tabela1[[#This Row],[Material]]&amp;"-"&amp;Tabela1[[#This Row],[Centro
Origem]]&amp;"-"&amp;Tabela1[[#This Row],[Depósito]]&amp;"-"&amp;Tabela1[[#This Row],[Tipo de Avaliação]]&amp;"-"&amp;Tabela1[[#This Row],[Elemento PEP]]</f>
        <v>11323440-4419-JI01-IMOB/NAC-</v>
      </c>
      <c r="AA157" s="58" t="str">
        <f>INDEX(ResumoLotesSUPERBID[Sugestão],MATCH(Tabela1[[#This Row],[Lote]],ResumoLotesSUPERBID[LOTES],0))</f>
        <v>Para Leilão</v>
      </c>
      <c r="AB157" s="56">
        <f>INDEX(ResumoLotesSUPERBID[VMA / Comparação],MATCH(Tabela1[[#This Row],[Lote]],ResumoLotesSUPERBID[LOTES],0))</f>
        <v>0.30692589976744977</v>
      </c>
      <c r="AC157" s="59" t="str">
        <f>INDEX(ResumoLotesSUPERBID[Descrição],MATCH(Tabela1[[#This Row],[Lote]],ResumoLotesSUPERBID[LOTES],0))</f>
        <v>1% do Valor de Comparação do VMA</v>
      </c>
    </row>
    <row r="158" spans="1:29" x14ac:dyDescent="0.25">
      <c r="A158" s="20" t="s">
        <v>353</v>
      </c>
      <c r="B158" t="s">
        <v>47</v>
      </c>
      <c r="D158" s="16" t="s">
        <v>290</v>
      </c>
      <c r="E158" t="s">
        <v>61</v>
      </c>
      <c r="F158" s="22">
        <v>11324059</v>
      </c>
      <c r="G158" t="s">
        <v>354</v>
      </c>
      <c r="H158" s="6">
        <v>4419</v>
      </c>
      <c r="J158" s="6" t="s">
        <v>386</v>
      </c>
      <c r="K158" t="s">
        <v>385</v>
      </c>
      <c r="M158">
        <v>10</v>
      </c>
      <c r="N158" t="s">
        <v>391</v>
      </c>
      <c r="O158" s="7">
        <v>2856.73</v>
      </c>
      <c r="P158" s="7">
        <f>Tabela1[[#This Row],[Valor Contábil Unitário]]*Tabela1[[#This Row],[Quantidade]]</f>
        <v>28567.3</v>
      </c>
      <c r="Q158" s="7">
        <v>2856.7330000000002</v>
      </c>
      <c r="R158" s="7">
        <f>Tabela1[[#This Row],[Valor de Reposição Unitário]]*Tabela1[[#This Row],[Quantidade]]</f>
        <v>28567.33</v>
      </c>
      <c r="S158" s="48">
        <f>IF(Tabela1[[#This Row],[Valor Contábil Total]]&gt;Tabela1[[#This Row],[Valor total de Reposição]],Tabela1[[#This Row],[Valor Contábil Total]],Tabela1[[#This Row],[Valor total de Reposição]])</f>
        <v>28567.33</v>
      </c>
      <c r="T158" s="7">
        <v>771.3179100000001</v>
      </c>
      <c r="U158" s="7">
        <f>Tabela1[[#This Row],[VMA - Unitário]]*Tabela1[[#This Row],[Quantidade]]</f>
        <v>7713.1791000000012</v>
      </c>
      <c r="V158" s="48">
        <f>INDEX(ResumoLotesSUPERBID[VMA Total do Lote],MATCH(Tabela1[[#This Row],[Lote]],ResumoLotesSUPERBID[LOTES],0))</f>
        <v>628472.51433000015</v>
      </c>
      <c r="W158" s="57">
        <f>Tabela1[[#This Row],[VMA - Total]]/Tabela1[[#This Row],[VMA total do Lote]]</f>
        <v>1.2272898057002287E-2</v>
      </c>
      <c r="X158" t="s">
        <v>392</v>
      </c>
      <c r="Y158" t="s">
        <v>393</v>
      </c>
      <c r="Z158" s="55" t="str">
        <f>Tabela1[[#This Row],[Material]]&amp;"-"&amp;Tabela1[[#This Row],[Centro
Origem]]&amp;"-"&amp;Tabela1[[#This Row],[Depósito]]&amp;"-"&amp;Tabela1[[#This Row],[Tipo de Avaliação]]&amp;"-"&amp;Tabela1[[#This Row],[Elemento PEP]]</f>
        <v>11324059-4419-JI01-IMOB/NAC-</v>
      </c>
      <c r="AA158" s="58" t="str">
        <f>INDEX(ResumoLotesSUPERBID[Sugestão],MATCH(Tabela1[[#This Row],[Lote]],ResumoLotesSUPERBID[LOTES],0))</f>
        <v>Para Leilão</v>
      </c>
      <c r="AB158" s="56">
        <f>INDEX(ResumoLotesSUPERBID[VMA / Comparação],MATCH(Tabela1[[#This Row],[Lote]],ResumoLotesSUPERBID[LOTES],0))</f>
        <v>0.30692589976744977</v>
      </c>
      <c r="AC158" s="59" t="str">
        <f>INDEX(ResumoLotesSUPERBID[Descrição],MATCH(Tabela1[[#This Row],[Lote]],ResumoLotesSUPERBID[LOTES],0))</f>
        <v>1% do Valor de Comparação do VMA</v>
      </c>
    </row>
    <row r="159" spans="1:29" x14ac:dyDescent="0.25">
      <c r="A159" s="20" t="s">
        <v>355</v>
      </c>
      <c r="B159" t="s">
        <v>47</v>
      </c>
      <c r="D159" s="16" t="s">
        <v>290</v>
      </c>
      <c r="E159" t="s">
        <v>61</v>
      </c>
      <c r="F159" s="22">
        <v>11012242</v>
      </c>
      <c r="G159" t="s">
        <v>356</v>
      </c>
      <c r="H159" s="6">
        <v>4419</v>
      </c>
      <c r="J159" s="6" t="s">
        <v>386</v>
      </c>
      <c r="K159" t="s">
        <v>385</v>
      </c>
      <c r="M159">
        <v>1</v>
      </c>
      <c r="N159" t="s">
        <v>391</v>
      </c>
      <c r="O159" s="7">
        <v>3754.55</v>
      </c>
      <c r="P159" s="7">
        <f>Tabela1[[#This Row],[Valor Contábil Unitário]]*Tabela1[[#This Row],[Quantidade]]</f>
        <v>3754.55</v>
      </c>
      <c r="Q159" s="7">
        <v>3754.55</v>
      </c>
      <c r="R159" s="7">
        <f>Tabela1[[#This Row],[Valor de Reposição Unitário]]*Tabela1[[#This Row],[Quantidade]]</f>
        <v>3754.55</v>
      </c>
      <c r="S159" s="48">
        <f>IF(Tabela1[[#This Row],[Valor Contábil Total]]&gt;Tabela1[[#This Row],[Valor total de Reposição]],Tabela1[[#This Row],[Valor Contábil Total]],Tabela1[[#This Row],[Valor total de Reposição]])</f>
        <v>3754.55</v>
      </c>
      <c r="T159" s="7">
        <v>1013.7285000000002</v>
      </c>
      <c r="U159" s="7">
        <f>Tabela1[[#This Row],[VMA - Unitário]]*Tabela1[[#This Row],[Quantidade]]</f>
        <v>1013.7285000000002</v>
      </c>
      <c r="V159" s="48">
        <f>INDEX(ResumoLotesSUPERBID[VMA Total do Lote],MATCH(Tabela1[[#This Row],[Lote]],ResumoLotesSUPERBID[LOTES],0))</f>
        <v>628472.51433000015</v>
      </c>
      <c r="W159" s="57">
        <f>Tabela1[[#This Row],[VMA - Total]]/Tabela1[[#This Row],[VMA total do Lote]]</f>
        <v>1.6130037143799556E-3</v>
      </c>
      <c r="X159" t="s">
        <v>392</v>
      </c>
      <c r="Y159" t="s">
        <v>393</v>
      </c>
      <c r="Z159" s="55" t="str">
        <f>Tabela1[[#This Row],[Material]]&amp;"-"&amp;Tabela1[[#This Row],[Centro
Origem]]&amp;"-"&amp;Tabela1[[#This Row],[Depósito]]&amp;"-"&amp;Tabela1[[#This Row],[Tipo de Avaliação]]&amp;"-"&amp;Tabela1[[#This Row],[Elemento PEP]]</f>
        <v>11012242-4419-JI01-IMOB/NAC-</v>
      </c>
      <c r="AA159" s="58" t="str">
        <f>INDEX(ResumoLotesSUPERBID[Sugestão],MATCH(Tabela1[[#This Row],[Lote]],ResumoLotesSUPERBID[LOTES],0))</f>
        <v>Para Leilão</v>
      </c>
      <c r="AB159" s="56">
        <f>INDEX(ResumoLotesSUPERBID[VMA / Comparação],MATCH(Tabela1[[#This Row],[Lote]],ResumoLotesSUPERBID[LOTES],0))</f>
        <v>0.30692589976744977</v>
      </c>
      <c r="AC159" s="59" t="str">
        <f>INDEX(ResumoLotesSUPERBID[Descrição],MATCH(Tabela1[[#This Row],[Lote]],ResumoLotesSUPERBID[LOTES],0))</f>
        <v>1% do Valor de Comparação do VMA</v>
      </c>
    </row>
    <row r="160" spans="1:29" x14ac:dyDescent="0.25">
      <c r="A160" s="20" t="s">
        <v>357</v>
      </c>
      <c r="B160" t="s">
        <v>47</v>
      </c>
      <c r="D160" s="16" t="s">
        <v>290</v>
      </c>
      <c r="E160" t="s">
        <v>61</v>
      </c>
      <c r="F160" s="22">
        <v>11324065</v>
      </c>
      <c r="G160" t="s">
        <v>336</v>
      </c>
      <c r="H160" s="6">
        <v>4419</v>
      </c>
      <c r="J160" s="6" t="s">
        <v>386</v>
      </c>
      <c r="K160" t="s">
        <v>385</v>
      </c>
      <c r="M160">
        <v>11</v>
      </c>
      <c r="N160" t="s">
        <v>391</v>
      </c>
      <c r="O160" s="7">
        <v>15116.87</v>
      </c>
      <c r="P160" s="7">
        <f>Tabela1[[#This Row],[Valor Contábil Unitário]]*Tabela1[[#This Row],[Quantidade]]</f>
        <v>166285.57</v>
      </c>
      <c r="Q160" s="7">
        <v>15116.871818181819</v>
      </c>
      <c r="R160" s="7">
        <f>Tabela1[[#This Row],[Valor de Reposição Unitário]]*Tabela1[[#This Row],[Quantidade]]</f>
        <v>166285.59</v>
      </c>
      <c r="S160" s="48">
        <f>IF(Tabela1[[#This Row],[Valor Contábil Total]]&gt;Tabela1[[#This Row],[Valor total de Reposição]],Tabela1[[#This Row],[Valor Contábil Total]],Tabela1[[#This Row],[Valor total de Reposição]])</f>
        <v>166285.59</v>
      </c>
      <c r="T160" s="7">
        <v>5442.0738545454551</v>
      </c>
      <c r="U160" s="7">
        <f>Tabela1[[#This Row],[VMA - Unitário]]*Tabela1[[#This Row],[Quantidade]]</f>
        <v>59862.81240000001</v>
      </c>
      <c r="V160" s="48">
        <f>INDEX(ResumoLotesSUPERBID[VMA Total do Lote],MATCH(Tabela1[[#This Row],[Lote]],ResumoLotesSUPERBID[LOTES],0))</f>
        <v>628472.51433000015</v>
      </c>
      <c r="W160" s="57">
        <f>Tabela1[[#This Row],[VMA - Total]]/Tabela1[[#This Row],[VMA total do Lote]]</f>
        <v>9.5251281535865345E-2</v>
      </c>
      <c r="X160" t="s">
        <v>392</v>
      </c>
      <c r="Y160" t="s">
        <v>393</v>
      </c>
      <c r="Z160" s="55" t="str">
        <f>Tabela1[[#This Row],[Material]]&amp;"-"&amp;Tabela1[[#This Row],[Centro
Origem]]&amp;"-"&amp;Tabela1[[#This Row],[Depósito]]&amp;"-"&amp;Tabela1[[#This Row],[Tipo de Avaliação]]&amp;"-"&amp;Tabela1[[#This Row],[Elemento PEP]]</f>
        <v>11324065-4419-JI01-IMOB/NAC-</v>
      </c>
      <c r="AA160" s="58" t="str">
        <f>INDEX(ResumoLotesSUPERBID[Sugestão],MATCH(Tabela1[[#This Row],[Lote]],ResumoLotesSUPERBID[LOTES],0))</f>
        <v>Para Leilão</v>
      </c>
      <c r="AB160" s="56">
        <f>INDEX(ResumoLotesSUPERBID[VMA / Comparação],MATCH(Tabela1[[#This Row],[Lote]],ResumoLotesSUPERBID[LOTES],0))</f>
        <v>0.30692589976744977</v>
      </c>
      <c r="AC160" s="59" t="str">
        <f>INDEX(ResumoLotesSUPERBID[Descrição],MATCH(Tabela1[[#This Row],[Lote]],ResumoLotesSUPERBID[LOTES],0))</f>
        <v>1% do Valor de Comparação do VMA</v>
      </c>
    </row>
    <row r="161" spans="1:29" x14ac:dyDescent="0.25">
      <c r="A161" s="20" t="s">
        <v>358</v>
      </c>
      <c r="B161" t="s">
        <v>47</v>
      </c>
      <c r="D161" s="16" t="s">
        <v>290</v>
      </c>
      <c r="E161" t="s">
        <v>61</v>
      </c>
      <c r="F161" s="22">
        <v>11324091</v>
      </c>
      <c r="G161" t="s">
        <v>336</v>
      </c>
      <c r="H161" s="6">
        <v>4419</v>
      </c>
      <c r="J161" s="6" t="s">
        <v>386</v>
      </c>
      <c r="K161" t="s">
        <v>385</v>
      </c>
      <c r="M161">
        <v>6</v>
      </c>
      <c r="N161" t="s">
        <v>391</v>
      </c>
      <c r="O161" s="7">
        <v>15116.87</v>
      </c>
      <c r="P161" s="7">
        <f>Tabela1[[#This Row],[Valor Contábil Unitário]]*Tabela1[[#This Row],[Quantidade]]</f>
        <v>90701.22</v>
      </c>
      <c r="Q161" s="7">
        <v>15116.873333333335</v>
      </c>
      <c r="R161" s="7">
        <f>Tabela1[[#This Row],[Valor de Reposição Unitário]]*Tabela1[[#This Row],[Quantidade]]</f>
        <v>90701.24</v>
      </c>
      <c r="S161" s="48">
        <f>IF(Tabela1[[#This Row],[Valor Contábil Total]]&gt;Tabela1[[#This Row],[Valor total de Reposição]],Tabela1[[#This Row],[Valor Contábil Total]],Tabela1[[#This Row],[Valor total de Reposição]])</f>
        <v>90701.24</v>
      </c>
      <c r="T161" s="7">
        <v>5442.0744000000004</v>
      </c>
      <c r="U161" s="7">
        <f>Tabela1[[#This Row],[VMA - Unitário]]*Tabela1[[#This Row],[Quantidade]]</f>
        <v>32652.446400000001</v>
      </c>
      <c r="V161" s="48">
        <f>INDEX(ResumoLotesSUPERBID[VMA Total do Lote],MATCH(Tabela1[[#This Row],[Lote]],ResumoLotesSUPERBID[LOTES],0))</f>
        <v>628472.51433000015</v>
      </c>
      <c r="W161" s="57">
        <f>Tabela1[[#This Row],[VMA - Total]]/Tabela1[[#This Row],[VMA total do Lote]]</f>
        <v>5.1955249681539389E-2</v>
      </c>
      <c r="X161" t="s">
        <v>392</v>
      </c>
      <c r="Y161" t="s">
        <v>393</v>
      </c>
      <c r="Z161" s="55" t="str">
        <f>Tabela1[[#This Row],[Material]]&amp;"-"&amp;Tabela1[[#This Row],[Centro
Origem]]&amp;"-"&amp;Tabela1[[#This Row],[Depósito]]&amp;"-"&amp;Tabela1[[#This Row],[Tipo de Avaliação]]&amp;"-"&amp;Tabela1[[#This Row],[Elemento PEP]]</f>
        <v>11324091-4419-JI01-IMOB/NAC-</v>
      </c>
      <c r="AA161" s="58" t="str">
        <f>INDEX(ResumoLotesSUPERBID[Sugestão],MATCH(Tabela1[[#This Row],[Lote]],ResumoLotesSUPERBID[LOTES],0))</f>
        <v>Para Leilão</v>
      </c>
      <c r="AB161" s="56">
        <f>INDEX(ResumoLotesSUPERBID[VMA / Comparação],MATCH(Tabela1[[#This Row],[Lote]],ResumoLotesSUPERBID[LOTES],0))</f>
        <v>0.30692589976744977</v>
      </c>
      <c r="AC161" s="59" t="str">
        <f>INDEX(ResumoLotesSUPERBID[Descrição],MATCH(Tabela1[[#This Row],[Lote]],ResumoLotesSUPERBID[LOTES],0))</f>
        <v>1% do Valor de Comparação do VMA</v>
      </c>
    </row>
    <row r="162" spans="1:29" x14ac:dyDescent="0.25">
      <c r="A162" s="20" t="s">
        <v>359</v>
      </c>
      <c r="B162" t="s">
        <v>47</v>
      </c>
      <c r="D162" s="16" t="s">
        <v>290</v>
      </c>
      <c r="E162" t="s">
        <v>61</v>
      </c>
      <c r="F162" s="22">
        <v>11324300</v>
      </c>
      <c r="G162" t="s">
        <v>360</v>
      </c>
      <c r="H162" s="6">
        <v>4419</v>
      </c>
      <c r="J162" s="6" t="s">
        <v>386</v>
      </c>
      <c r="K162" t="s">
        <v>385</v>
      </c>
      <c r="M162">
        <v>4</v>
      </c>
      <c r="N162" t="s">
        <v>391</v>
      </c>
      <c r="O162" s="7">
        <v>6154.56</v>
      </c>
      <c r="P162" s="7">
        <f>Tabela1[[#This Row],[Valor Contábil Unitário]]*Tabela1[[#This Row],[Quantidade]]</f>
        <v>24618.240000000002</v>
      </c>
      <c r="Q162" s="7">
        <v>6154.5574999999999</v>
      </c>
      <c r="R162" s="7">
        <f>Tabela1[[#This Row],[Valor de Reposição Unitário]]*Tabela1[[#This Row],[Quantidade]]</f>
        <v>24618.23</v>
      </c>
      <c r="S162" s="48">
        <f>IF(Tabela1[[#This Row],[Valor Contábil Total]]&gt;Tabela1[[#This Row],[Valor total de Reposição]],Tabela1[[#This Row],[Valor Contábil Total]],Tabela1[[#This Row],[Valor total de Reposição]])</f>
        <v>24618.240000000002</v>
      </c>
      <c r="T162" s="7">
        <v>2215.6407000000004</v>
      </c>
      <c r="U162" s="7">
        <f>Tabela1[[#This Row],[VMA - Unitário]]*Tabela1[[#This Row],[Quantidade]]</f>
        <v>8862.5628000000015</v>
      </c>
      <c r="V162" s="48">
        <f>INDEX(ResumoLotesSUPERBID[VMA Total do Lote],MATCH(Tabela1[[#This Row],[Lote]],ResumoLotesSUPERBID[LOTES],0))</f>
        <v>628472.51433000015</v>
      </c>
      <c r="W162" s="57">
        <f>Tabela1[[#This Row],[VMA - Total]]/Tabela1[[#This Row],[VMA total do Lote]]</f>
        <v>1.4101750829068751E-2</v>
      </c>
      <c r="X162" t="s">
        <v>392</v>
      </c>
      <c r="Y162" t="s">
        <v>393</v>
      </c>
      <c r="Z162" s="55" t="str">
        <f>Tabela1[[#This Row],[Material]]&amp;"-"&amp;Tabela1[[#This Row],[Centro
Origem]]&amp;"-"&amp;Tabela1[[#This Row],[Depósito]]&amp;"-"&amp;Tabela1[[#This Row],[Tipo de Avaliação]]&amp;"-"&amp;Tabela1[[#This Row],[Elemento PEP]]</f>
        <v>11324300-4419-JI01-IMOB/NAC-</v>
      </c>
      <c r="AA162" s="58" t="str">
        <f>INDEX(ResumoLotesSUPERBID[Sugestão],MATCH(Tabela1[[#This Row],[Lote]],ResumoLotesSUPERBID[LOTES],0))</f>
        <v>Para Leilão</v>
      </c>
      <c r="AB162" s="56">
        <f>INDEX(ResumoLotesSUPERBID[VMA / Comparação],MATCH(Tabela1[[#This Row],[Lote]],ResumoLotesSUPERBID[LOTES],0))</f>
        <v>0.30692589976744977</v>
      </c>
      <c r="AC162" s="59" t="str">
        <f>INDEX(ResumoLotesSUPERBID[Descrição],MATCH(Tabela1[[#This Row],[Lote]],ResumoLotesSUPERBID[LOTES],0))</f>
        <v>1% do Valor de Comparação do VMA</v>
      </c>
    </row>
    <row r="163" spans="1:29" x14ac:dyDescent="0.25">
      <c r="A163" s="20" t="s">
        <v>361</v>
      </c>
      <c r="B163" t="s">
        <v>47</v>
      </c>
      <c r="D163" s="16" t="s">
        <v>290</v>
      </c>
      <c r="E163" t="s">
        <v>61</v>
      </c>
      <c r="F163" s="22">
        <v>11429542</v>
      </c>
      <c r="G163" t="s">
        <v>362</v>
      </c>
      <c r="H163" s="6">
        <v>4419</v>
      </c>
      <c r="J163" s="6" t="s">
        <v>386</v>
      </c>
      <c r="K163" t="s">
        <v>390</v>
      </c>
      <c r="M163">
        <v>4</v>
      </c>
      <c r="N163" t="s">
        <v>391</v>
      </c>
      <c r="O163" s="7">
        <v>14294.9</v>
      </c>
      <c r="P163" s="7">
        <f>Tabela1[[#This Row],[Valor Contábil Unitário]]*Tabela1[[#This Row],[Quantidade]]</f>
        <v>57179.6</v>
      </c>
      <c r="Q163" s="7">
        <v>14294.9025</v>
      </c>
      <c r="R163" s="7">
        <f>Tabela1[[#This Row],[Valor de Reposição Unitário]]*Tabela1[[#This Row],[Quantidade]]</f>
        <v>57179.61</v>
      </c>
      <c r="S163" s="48">
        <f>IF(Tabela1[[#This Row],[Valor Contábil Total]]&gt;Tabela1[[#This Row],[Valor total de Reposição]],Tabela1[[#This Row],[Valor Contábil Total]],Tabela1[[#This Row],[Valor total de Reposição]])</f>
        <v>57179.61</v>
      </c>
      <c r="T163" s="7">
        <v>3859.6236750000003</v>
      </c>
      <c r="U163" s="7">
        <f>Tabela1[[#This Row],[VMA - Unitário]]*Tabela1[[#This Row],[Quantidade]]</f>
        <v>15438.494700000001</v>
      </c>
      <c r="V163" s="48">
        <f>INDEX(ResumoLotesSUPERBID[VMA Total do Lote],MATCH(Tabela1[[#This Row],[Lote]],ResumoLotesSUPERBID[LOTES],0))</f>
        <v>628472.51433000015</v>
      </c>
      <c r="W163" s="57">
        <f>Tabela1[[#This Row],[VMA - Total]]/Tabela1[[#This Row],[VMA total do Lote]]</f>
        <v>2.4565107221051059E-2</v>
      </c>
      <c r="X163" t="s">
        <v>392</v>
      </c>
      <c r="Y163" t="s">
        <v>393</v>
      </c>
      <c r="Z163" s="55" t="str">
        <f>Tabela1[[#This Row],[Material]]&amp;"-"&amp;Tabela1[[#This Row],[Centro
Origem]]&amp;"-"&amp;Tabela1[[#This Row],[Depósito]]&amp;"-"&amp;Tabela1[[#This Row],[Tipo de Avaliação]]&amp;"-"&amp;Tabela1[[#This Row],[Elemento PEP]]</f>
        <v>11429542-4419-JI01-IMOB/NAC3-</v>
      </c>
      <c r="AA163" s="58" t="str">
        <f>INDEX(ResumoLotesSUPERBID[Sugestão],MATCH(Tabela1[[#This Row],[Lote]],ResumoLotesSUPERBID[LOTES],0))</f>
        <v>Para Leilão</v>
      </c>
      <c r="AB163" s="56">
        <f>INDEX(ResumoLotesSUPERBID[VMA / Comparação],MATCH(Tabela1[[#This Row],[Lote]],ResumoLotesSUPERBID[LOTES],0))</f>
        <v>0.30692589976744977</v>
      </c>
      <c r="AC163" s="59" t="str">
        <f>INDEX(ResumoLotesSUPERBID[Descrição],MATCH(Tabela1[[#This Row],[Lote]],ResumoLotesSUPERBID[LOTES],0))</f>
        <v>1% do Valor de Comparação do VMA</v>
      </c>
    </row>
    <row r="164" spans="1:29" x14ac:dyDescent="0.25">
      <c r="A164" s="20" t="s">
        <v>363</v>
      </c>
      <c r="B164" t="s">
        <v>47</v>
      </c>
      <c r="D164" s="16" t="s">
        <v>364</v>
      </c>
      <c r="E164" t="s">
        <v>49</v>
      </c>
      <c r="F164" s="22">
        <v>11116859</v>
      </c>
      <c r="G164" t="s">
        <v>365</v>
      </c>
      <c r="H164" s="6">
        <v>4419</v>
      </c>
      <c r="J164" s="6" t="s">
        <v>382</v>
      </c>
      <c r="K164" t="s">
        <v>385</v>
      </c>
      <c r="M164">
        <v>2</v>
      </c>
      <c r="N164" t="s">
        <v>391</v>
      </c>
      <c r="O164" s="7">
        <v>270306.17</v>
      </c>
      <c r="P164" s="7">
        <f>Tabela1[[#This Row],[Valor Contábil Unitário]]*Tabela1[[#This Row],[Quantidade]]</f>
        <v>540612.34</v>
      </c>
      <c r="Q164" s="7">
        <v>270306.16499999998</v>
      </c>
      <c r="R164" s="7">
        <f>Tabela1[[#This Row],[Valor de Reposição Unitário]]*Tabela1[[#This Row],[Quantidade]]</f>
        <v>540612.32999999996</v>
      </c>
      <c r="S164" s="48">
        <f>IF(Tabela1[[#This Row],[Valor Contábil Total]]&gt;Tabela1[[#This Row],[Valor total de Reposição]],Tabela1[[#This Row],[Valor Contábil Total]],Tabela1[[#This Row],[Valor total de Reposição]])</f>
        <v>540612.34</v>
      </c>
      <c r="T164" s="7">
        <v>97310.219400000002</v>
      </c>
      <c r="U164" s="7">
        <f>Tabela1[[#This Row],[VMA - Unitário]]*Tabela1[[#This Row],[Quantidade]]</f>
        <v>194620.4388</v>
      </c>
      <c r="V164" s="48">
        <f>INDEX(ResumoLotesSUPERBID[VMA Total do Lote],MATCH(Tabela1[[#This Row],[Lote]],ResumoLotesSUPERBID[LOTES],0))</f>
        <v>305048.15639999998</v>
      </c>
      <c r="W164" s="57">
        <f>Tabela1[[#This Row],[VMA - Total]]/Tabela1[[#This Row],[VMA total do Lote]]</f>
        <v>0.6379990657763569</v>
      </c>
      <c r="X164" t="s">
        <v>392</v>
      </c>
      <c r="Y164" t="s">
        <v>393</v>
      </c>
      <c r="Z164" s="55" t="str">
        <f>Tabela1[[#This Row],[Material]]&amp;"-"&amp;Tabela1[[#This Row],[Centro
Origem]]&amp;"-"&amp;Tabela1[[#This Row],[Depósito]]&amp;"-"&amp;Tabela1[[#This Row],[Tipo de Avaliação]]&amp;"-"&amp;Tabela1[[#This Row],[Elemento PEP]]</f>
        <v>11116859-4419-JI02-IMOB/NAC-</v>
      </c>
      <c r="AA164" s="58" t="str">
        <f>INDEX(ResumoLotesSUPERBID[Sugestão],MATCH(Tabela1[[#This Row],[Lote]],ResumoLotesSUPERBID[LOTES],0))</f>
        <v>Para Leilão</v>
      </c>
      <c r="AB164" s="56">
        <f>INDEX(ResumoLotesSUPERBID[VMA / Comparação],MATCH(Tabela1[[#This Row],[Lote]],ResumoLotesSUPERBID[LOTES],0))</f>
        <v>0.35999999575149055</v>
      </c>
      <c r="AC164" s="59" t="str">
        <f>INDEX(ResumoLotesSUPERBID[Descrição],MATCH(Tabela1[[#This Row],[Lote]],ResumoLotesSUPERBID[LOTES],0))</f>
        <v>1% do Valor de Comparação do VMA</v>
      </c>
    </row>
    <row r="165" spans="1:29" x14ac:dyDescent="0.25">
      <c r="A165" s="20" t="s">
        <v>366</v>
      </c>
      <c r="B165" t="s">
        <v>47</v>
      </c>
      <c r="D165" s="16" t="s">
        <v>364</v>
      </c>
      <c r="E165" t="s">
        <v>49</v>
      </c>
      <c r="F165" s="22">
        <v>11116864</v>
      </c>
      <c r="G165" t="s">
        <v>367</v>
      </c>
      <c r="H165" s="6">
        <v>4419</v>
      </c>
      <c r="J165" s="6" t="s">
        <v>382</v>
      </c>
      <c r="K165" t="s">
        <v>385</v>
      </c>
      <c r="M165">
        <v>1</v>
      </c>
      <c r="N165" t="s">
        <v>391</v>
      </c>
      <c r="O165" s="7">
        <v>153371.82999999999</v>
      </c>
      <c r="P165" s="7">
        <f>Tabela1[[#This Row],[Valor Contábil Unitário]]*Tabela1[[#This Row],[Quantidade]]</f>
        <v>153371.82999999999</v>
      </c>
      <c r="Q165" s="7">
        <v>153371.82999999999</v>
      </c>
      <c r="R165" s="7">
        <f>Tabela1[[#This Row],[Valor de Reposição Unitário]]*Tabela1[[#This Row],[Quantidade]]</f>
        <v>153371.82999999999</v>
      </c>
      <c r="S165" s="48">
        <f>IF(Tabela1[[#This Row],[Valor Contábil Total]]&gt;Tabela1[[#This Row],[Valor total de Reposição]],Tabela1[[#This Row],[Valor Contábil Total]],Tabela1[[#This Row],[Valor total de Reposição]])</f>
        <v>153371.82999999999</v>
      </c>
      <c r="T165" s="7">
        <v>55213.858800000002</v>
      </c>
      <c r="U165" s="7">
        <f>Tabela1[[#This Row],[VMA - Unitário]]*Tabela1[[#This Row],[Quantidade]]</f>
        <v>55213.858800000002</v>
      </c>
      <c r="V165" s="48">
        <f>INDEX(ResumoLotesSUPERBID[VMA Total do Lote],MATCH(Tabela1[[#This Row],[Lote]],ResumoLotesSUPERBID[LOTES],0))</f>
        <v>305048.15639999998</v>
      </c>
      <c r="W165" s="57">
        <f>Tabela1[[#This Row],[VMA - Total]]/Tabela1[[#This Row],[VMA total do Lote]]</f>
        <v>0.18100046711182158</v>
      </c>
      <c r="X165" t="s">
        <v>392</v>
      </c>
      <c r="Y165" t="s">
        <v>393</v>
      </c>
      <c r="Z165" s="55" t="str">
        <f>Tabela1[[#This Row],[Material]]&amp;"-"&amp;Tabela1[[#This Row],[Centro
Origem]]&amp;"-"&amp;Tabela1[[#This Row],[Depósito]]&amp;"-"&amp;Tabela1[[#This Row],[Tipo de Avaliação]]&amp;"-"&amp;Tabela1[[#This Row],[Elemento PEP]]</f>
        <v>11116864-4419-JI02-IMOB/NAC-</v>
      </c>
      <c r="AA165" s="58" t="str">
        <f>INDEX(ResumoLotesSUPERBID[Sugestão],MATCH(Tabela1[[#This Row],[Lote]],ResumoLotesSUPERBID[LOTES],0))</f>
        <v>Para Leilão</v>
      </c>
      <c r="AB165" s="56">
        <f>INDEX(ResumoLotesSUPERBID[VMA / Comparação],MATCH(Tabela1[[#This Row],[Lote]],ResumoLotesSUPERBID[LOTES],0))</f>
        <v>0.35999999575149055</v>
      </c>
      <c r="AC165" s="59" t="str">
        <f>INDEX(ResumoLotesSUPERBID[Descrição],MATCH(Tabela1[[#This Row],[Lote]],ResumoLotesSUPERBID[LOTES],0))</f>
        <v>1% do Valor de Comparação do VMA</v>
      </c>
    </row>
    <row r="166" spans="1:29" x14ac:dyDescent="0.25">
      <c r="A166" s="20" t="s">
        <v>368</v>
      </c>
      <c r="B166" t="s">
        <v>47</v>
      </c>
      <c r="D166" s="16" t="s">
        <v>364</v>
      </c>
      <c r="E166" t="s">
        <v>49</v>
      </c>
      <c r="F166" s="22">
        <v>11116864</v>
      </c>
      <c r="G166" t="s">
        <v>367</v>
      </c>
      <c r="H166" s="6">
        <v>4419</v>
      </c>
      <c r="J166" s="6" t="s">
        <v>382</v>
      </c>
      <c r="K166" t="s">
        <v>385</v>
      </c>
      <c r="M166">
        <v>1</v>
      </c>
      <c r="N166" t="s">
        <v>391</v>
      </c>
      <c r="O166" s="7">
        <v>153371.82999999999</v>
      </c>
      <c r="P166" s="7">
        <f>Tabela1[[#This Row],[Valor Contábil Unitário]]*Tabela1[[#This Row],[Quantidade]]</f>
        <v>153371.82999999999</v>
      </c>
      <c r="Q166" s="7">
        <v>153371.82999999999</v>
      </c>
      <c r="R166" s="7">
        <f>Tabela1[[#This Row],[Valor de Reposição Unitário]]*Tabela1[[#This Row],[Quantidade]]</f>
        <v>153371.82999999999</v>
      </c>
      <c r="S166" s="48">
        <f>IF(Tabela1[[#This Row],[Valor Contábil Total]]&gt;Tabela1[[#This Row],[Valor total de Reposição]],Tabela1[[#This Row],[Valor Contábil Total]],Tabela1[[#This Row],[Valor total de Reposição]])</f>
        <v>153371.82999999999</v>
      </c>
      <c r="T166" s="7">
        <v>55213.858800000002</v>
      </c>
      <c r="U166" s="7">
        <f>Tabela1[[#This Row],[VMA - Unitário]]*Tabela1[[#This Row],[Quantidade]]</f>
        <v>55213.858800000002</v>
      </c>
      <c r="V166" s="48">
        <f>INDEX(ResumoLotesSUPERBID[VMA Total do Lote],MATCH(Tabela1[[#This Row],[Lote]],ResumoLotesSUPERBID[LOTES],0))</f>
        <v>305048.15639999998</v>
      </c>
      <c r="W166" s="57">
        <f>Tabela1[[#This Row],[VMA - Total]]/Tabela1[[#This Row],[VMA total do Lote]]</f>
        <v>0.18100046711182158</v>
      </c>
      <c r="X166" t="s">
        <v>392</v>
      </c>
      <c r="Y166" t="s">
        <v>393</v>
      </c>
      <c r="Z166" s="55" t="str">
        <f>Tabela1[[#This Row],[Material]]&amp;"-"&amp;Tabela1[[#This Row],[Centro
Origem]]&amp;"-"&amp;Tabela1[[#This Row],[Depósito]]&amp;"-"&amp;Tabela1[[#This Row],[Tipo de Avaliação]]&amp;"-"&amp;Tabela1[[#This Row],[Elemento PEP]]</f>
        <v>11116864-4419-JI02-IMOB/NAC-</v>
      </c>
      <c r="AA166" s="58" t="str">
        <f>INDEX(ResumoLotesSUPERBID[Sugestão],MATCH(Tabela1[[#This Row],[Lote]],ResumoLotesSUPERBID[LOTES],0))</f>
        <v>Para Leilão</v>
      </c>
      <c r="AB166" s="56">
        <f>INDEX(ResumoLotesSUPERBID[VMA / Comparação],MATCH(Tabela1[[#This Row],[Lote]],ResumoLotesSUPERBID[LOTES],0))</f>
        <v>0.35999999575149055</v>
      </c>
      <c r="AC166" s="59" t="str">
        <f>INDEX(ResumoLotesSUPERBID[Descrição],MATCH(Tabela1[[#This Row],[Lote]],ResumoLotesSUPERBID[LOTES],0))</f>
        <v>1% do Valor de Comparação do VMA</v>
      </c>
    </row>
    <row r="167" spans="1:29" x14ac:dyDescent="0.25">
      <c r="A167" s="20" t="s">
        <v>369</v>
      </c>
      <c r="B167" t="s">
        <v>47</v>
      </c>
      <c r="D167" s="16" t="s">
        <v>370</v>
      </c>
      <c r="E167" t="s">
        <v>49</v>
      </c>
      <c r="F167" s="22">
        <v>11278207</v>
      </c>
      <c r="G167" t="s">
        <v>371</v>
      </c>
      <c r="H167" s="6">
        <v>4419</v>
      </c>
      <c r="J167" s="6" t="s">
        <v>382</v>
      </c>
      <c r="K167" t="s">
        <v>385</v>
      </c>
      <c r="M167">
        <v>1</v>
      </c>
      <c r="N167" t="s">
        <v>391</v>
      </c>
      <c r="O167" s="7">
        <v>505875.58</v>
      </c>
      <c r="P167" s="7">
        <f>Tabela1[[#This Row],[Valor Contábil Unitário]]*Tabela1[[#This Row],[Quantidade]]</f>
        <v>505875.58</v>
      </c>
      <c r="Q167" s="7">
        <v>505875.58</v>
      </c>
      <c r="R167" s="7">
        <f>Tabela1[[#This Row],[Valor de Reposição Unitário]]*Tabela1[[#This Row],[Quantidade]]</f>
        <v>505875.58</v>
      </c>
      <c r="S167" s="48">
        <f>IF(Tabela1[[#This Row],[Valor Contábil Total]]&gt;Tabela1[[#This Row],[Valor total de Reposição]],Tabela1[[#This Row],[Valor Contábil Total]],Tabela1[[#This Row],[Valor total de Reposição]])</f>
        <v>505875.58</v>
      </c>
      <c r="T167" s="7">
        <v>54634.562640000004</v>
      </c>
      <c r="U167" s="7">
        <f>Tabela1[[#This Row],[VMA - Unitário]]*Tabela1[[#This Row],[Quantidade]]</f>
        <v>54634.562640000004</v>
      </c>
      <c r="V167" s="48">
        <f>INDEX(ResumoLotesSUPERBID[VMA Total do Lote],MATCH(Tabela1[[#This Row],[Lote]],ResumoLotesSUPERBID[LOTES],0))</f>
        <v>54634.562640000004</v>
      </c>
      <c r="W167" s="57">
        <f>Tabela1[[#This Row],[VMA - Total]]/Tabela1[[#This Row],[VMA total do Lote]]</f>
        <v>1</v>
      </c>
      <c r="X167" t="s">
        <v>392</v>
      </c>
      <c r="Y167" t="s">
        <v>393</v>
      </c>
      <c r="Z167" s="55" t="str">
        <f>Tabela1[[#This Row],[Material]]&amp;"-"&amp;Tabela1[[#This Row],[Centro
Origem]]&amp;"-"&amp;Tabela1[[#This Row],[Depósito]]&amp;"-"&amp;Tabela1[[#This Row],[Tipo de Avaliação]]&amp;"-"&amp;Tabela1[[#This Row],[Elemento PEP]]</f>
        <v>11278207-4419-JI02-IMOB/NAC-</v>
      </c>
      <c r="AA167" s="58" t="str">
        <f>INDEX(ResumoLotesSUPERBID[Sugestão],MATCH(Tabela1[[#This Row],[Lote]],ResumoLotesSUPERBID[LOTES],0))</f>
        <v>Para Leilão</v>
      </c>
      <c r="AB167" s="56">
        <f>INDEX(ResumoLotesSUPERBID[VMA / Comparação],MATCH(Tabela1[[#This Row],[Lote]],ResumoLotesSUPERBID[LOTES],0))</f>
        <v>0.108</v>
      </c>
      <c r="AC167" s="59" t="str">
        <f>INDEX(ResumoLotesSUPERBID[Descrição],MATCH(Tabela1[[#This Row],[Lote]],ResumoLotesSUPERBID[LOTES],0))</f>
        <v>1% do Valor de Comparação do VMA</v>
      </c>
    </row>
    <row r="168" spans="1:29" x14ac:dyDescent="0.25">
      <c r="A168" s="20" t="s">
        <v>372</v>
      </c>
      <c r="B168" t="s">
        <v>47</v>
      </c>
      <c r="D168" s="16" t="s">
        <v>373</v>
      </c>
      <c r="E168" t="s">
        <v>61</v>
      </c>
      <c r="F168" s="22">
        <v>11117134</v>
      </c>
      <c r="G168" t="s">
        <v>374</v>
      </c>
      <c r="H168" s="6">
        <v>4419</v>
      </c>
      <c r="J168" s="6" t="s">
        <v>386</v>
      </c>
      <c r="K168" t="s">
        <v>390</v>
      </c>
      <c r="M168">
        <v>18</v>
      </c>
      <c r="N168" t="s">
        <v>391</v>
      </c>
      <c r="O168" s="7">
        <v>7511.51</v>
      </c>
      <c r="P168" s="7">
        <f>Tabela1[[#This Row],[Valor Contábil Unitário]]*Tabela1[[#This Row],[Quantidade]]</f>
        <v>135207.18</v>
      </c>
      <c r="Q168" s="7">
        <v>7511.5072222222225</v>
      </c>
      <c r="R168" s="7">
        <f>Tabela1[[#This Row],[Valor de Reposição Unitário]]*Tabela1[[#This Row],[Quantidade]]</f>
        <v>135207.13</v>
      </c>
      <c r="S168" s="48">
        <f>IF(Tabela1[[#This Row],[Valor Contábil Total]]&gt;Tabela1[[#This Row],[Valor total de Reposição]],Tabela1[[#This Row],[Valor Contábil Total]],Tabela1[[#This Row],[Valor total de Reposição]])</f>
        <v>135207.18</v>
      </c>
      <c r="T168" s="7">
        <v>2028.1069500000001</v>
      </c>
      <c r="U168" s="7">
        <f>Tabela1[[#This Row],[VMA - Unitário]]*Tabela1[[#This Row],[Quantidade]]</f>
        <v>36505.9251</v>
      </c>
      <c r="V168" s="48">
        <f>INDEX(ResumoLotesSUPERBID[VMA Total do Lote],MATCH(Tabela1[[#This Row],[Lote]],ResumoLotesSUPERBID[LOTES],0))</f>
        <v>41619.708900000005</v>
      </c>
      <c r="W168" s="57">
        <f>Tabela1[[#This Row],[VMA - Total]]/Tabela1[[#This Row],[VMA total do Lote]]</f>
        <v>0.87713071678884313</v>
      </c>
      <c r="X168" t="s">
        <v>392</v>
      </c>
      <c r="Y168" t="s">
        <v>393</v>
      </c>
      <c r="Z168" s="55" t="str">
        <f>Tabela1[[#This Row],[Material]]&amp;"-"&amp;Tabela1[[#This Row],[Centro
Origem]]&amp;"-"&amp;Tabela1[[#This Row],[Depósito]]&amp;"-"&amp;Tabela1[[#This Row],[Tipo de Avaliação]]&amp;"-"&amp;Tabela1[[#This Row],[Elemento PEP]]</f>
        <v>11117134-4419-JI01-IMOB/NAC3-</v>
      </c>
      <c r="AA168" s="58" t="str">
        <f>INDEX(ResumoLotesSUPERBID[Sugestão],MATCH(Tabela1[[#This Row],[Lote]],ResumoLotesSUPERBID[LOTES],0))</f>
        <v>Para Leilão</v>
      </c>
      <c r="AB168" s="56">
        <f>INDEX(ResumoLotesSUPERBID[VMA / Comparação],MATCH(Tabela1[[#This Row],[Lote]],ResumoLotesSUPERBID[LOTES],0))</f>
        <v>0.26999987738987574</v>
      </c>
      <c r="AC168" s="59" t="str">
        <f>INDEX(ResumoLotesSUPERBID[Descrição],MATCH(Tabela1[[#This Row],[Lote]],ResumoLotesSUPERBID[LOTES],0))</f>
        <v>1% do Valor de Comparação do VMA</v>
      </c>
    </row>
    <row r="169" spans="1:29" x14ac:dyDescent="0.25">
      <c r="A169" s="20" t="s">
        <v>375</v>
      </c>
      <c r="B169" t="s">
        <v>47</v>
      </c>
      <c r="D169" s="16" t="s">
        <v>373</v>
      </c>
      <c r="E169" t="s">
        <v>61</v>
      </c>
      <c r="F169" s="22">
        <v>11117158</v>
      </c>
      <c r="G169" t="s">
        <v>374</v>
      </c>
      <c r="H169" s="6">
        <v>4419</v>
      </c>
      <c r="J169" s="6" t="s">
        <v>386</v>
      </c>
      <c r="K169" t="s">
        <v>390</v>
      </c>
      <c r="M169">
        <v>6</v>
      </c>
      <c r="N169" t="s">
        <v>391</v>
      </c>
      <c r="O169" s="7">
        <v>1424.78</v>
      </c>
      <c r="P169" s="7">
        <f>Tabela1[[#This Row],[Valor Contábil Unitário]]*Tabela1[[#This Row],[Quantidade]]</f>
        <v>8548.68</v>
      </c>
      <c r="Q169" s="7">
        <v>1424.78</v>
      </c>
      <c r="R169" s="7">
        <f>Tabela1[[#This Row],[Valor de Reposição Unitário]]*Tabela1[[#This Row],[Quantidade]]</f>
        <v>8548.68</v>
      </c>
      <c r="S169" s="48">
        <f>IF(Tabela1[[#This Row],[Valor Contábil Total]]&gt;Tabela1[[#This Row],[Valor total de Reposição]],Tabela1[[#This Row],[Valor Contábil Total]],Tabela1[[#This Row],[Valor total de Reposição]])</f>
        <v>8548.68</v>
      </c>
      <c r="T169" s="7">
        <v>384.69060000000007</v>
      </c>
      <c r="U169" s="7">
        <f>Tabela1[[#This Row],[VMA - Unitário]]*Tabela1[[#This Row],[Quantidade]]</f>
        <v>2308.1436000000003</v>
      </c>
      <c r="V169" s="48">
        <f>INDEX(ResumoLotesSUPERBID[VMA Total do Lote],MATCH(Tabela1[[#This Row],[Lote]],ResumoLotesSUPERBID[LOTES],0))</f>
        <v>41619.708900000005</v>
      </c>
      <c r="W169" s="57">
        <f>Tabela1[[#This Row],[VMA - Total]]/Tabela1[[#This Row],[VMA total do Lote]]</f>
        <v>5.5457946751761161E-2</v>
      </c>
      <c r="X169" t="s">
        <v>392</v>
      </c>
      <c r="Y169" t="s">
        <v>393</v>
      </c>
      <c r="Z169" s="55" t="str">
        <f>Tabela1[[#This Row],[Material]]&amp;"-"&amp;Tabela1[[#This Row],[Centro
Origem]]&amp;"-"&amp;Tabela1[[#This Row],[Depósito]]&amp;"-"&amp;Tabela1[[#This Row],[Tipo de Avaliação]]&amp;"-"&amp;Tabela1[[#This Row],[Elemento PEP]]</f>
        <v>11117158-4419-JI01-IMOB/NAC3-</v>
      </c>
      <c r="AA169" s="58" t="str">
        <f>INDEX(ResumoLotesSUPERBID[Sugestão],MATCH(Tabela1[[#This Row],[Lote]],ResumoLotesSUPERBID[LOTES],0))</f>
        <v>Para Leilão</v>
      </c>
      <c r="AB169" s="56">
        <f>INDEX(ResumoLotesSUPERBID[VMA / Comparação],MATCH(Tabela1[[#This Row],[Lote]],ResumoLotesSUPERBID[LOTES],0))</f>
        <v>0.26999987738987574</v>
      </c>
      <c r="AC169" s="59" t="str">
        <f>INDEX(ResumoLotesSUPERBID[Descrição],MATCH(Tabela1[[#This Row],[Lote]],ResumoLotesSUPERBID[LOTES],0))</f>
        <v>1% do Valor de Comparação do VMA</v>
      </c>
    </row>
    <row r="170" spans="1:29" x14ac:dyDescent="0.25">
      <c r="A170" s="20" t="s">
        <v>376</v>
      </c>
      <c r="B170" t="s">
        <v>47</v>
      </c>
      <c r="D170" s="16" t="s">
        <v>373</v>
      </c>
      <c r="E170" t="s">
        <v>61</v>
      </c>
      <c r="F170" s="22">
        <v>11117159</v>
      </c>
      <c r="G170" t="s">
        <v>374</v>
      </c>
      <c r="H170" s="6">
        <v>4419</v>
      </c>
      <c r="J170" s="6" t="s">
        <v>386</v>
      </c>
      <c r="K170" t="s">
        <v>390</v>
      </c>
      <c r="M170">
        <v>6</v>
      </c>
      <c r="N170" t="s">
        <v>391</v>
      </c>
      <c r="O170" s="7">
        <v>1731.88</v>
      </c>
      <c r="P170" s="7">
        <f>Tabela1[[#This Row],[Valor Contábil Unitário]]*Tabela1[[#This Row],[Quantidade]]</f>
        <v>10391.280000000001</v>
      </c>
      <c r="Q170" s="7">
        <v>1731.8766666666668</v>
      </c>
      <c r="R170" s="7">
        <f>Tabela1[[#This Row],[Valor de Reposição Unitário]]*Tabela1[[#This Row],[Quantidade]]</f>
        <v>10391.26</v>
      </c>
      <c r="S170" s="48">
        <f>IF(Tabela1[[#This Row],[Valor Contábil Total]]&gt;Tabela1[[#This Row],[Valor total de Reposição]],Tabela1[[#This Row],[Valor Contábil Total]],Tabela1[[#This Row],[Valor total de Reposição]])</f>
        <v>10391.280000000001</v>
      </c>
      <c r="T170" s="7">
        <v>467.60670000000005</v>
      </c>
      <c r="U170" s="7">
        <f>Tabela1[[#This Row],[VMA - Unitário]]*Tabela1[[#This Row],[Quantidade]]</f>
        <v>2805.6402000000003</v>
      </c>
      <c r="V170" s="48">
        <f>INDEX(ResumoLotesSUPERBID[VMA Total do Lote],MATCH(Tabela1[[#This Row],[Lote]],ResumoLotesSUPERBID[LOTES],0))</f>
        <v>41619.708900000005</v>
      </c>
      <c r="W170" s="57">
        <f>Tabela1[[#This Row],[VMA - Total]]/Tabela1[[#This Row],[VMA total do Lote]]</f>
        <v>6.7411336459395566E-2</v>
      </c>
      <c r="X170" t="s">
        <v>392</v>
      </c>
      <c r="Y170" t="s">
        <v>393</v>
      </c>
      <c r="Z170" s="55" t="str">
        <f>Tabela1[[#This Row],[Material]]&amp;"-"&amp;Tabela1[[#This Row],[Centro
Origem]]&amp;"-"&amp;Tabela1[[#This Row],[Depósito]]&amp;"-"&amp;Tabela1[[#This Row],[Tipo de Avaliação]]&amp;"-"&amp;Tabela1[[#This Row],[Elemento PEP]]</f>
        <v>11117159-4419-JI01-IMOB/NAC3-</v>
      </c>
      <c r="AA170" s="58" t="str">
        <f>INDEX(ResumoLotesSUPERBID[Sugestão],MATCH(Tabela1[[#This Row],[Lote]],ResumoLotesSUPERBID[LOTES],0))</f>
        <v>Para Leilão</v>
      </c>
      <c r="AB170" s="56">
        <f>INDEX(ResumoLotesSUPERBID[VMA / Comparação],MATCH(Tabela1[[#This Row],[Lote]],ResumoLotesSUPERBID[LOTES],0))</f>
        <v>0.26999987738987574</v>
      </c>
      <c r="AC170" s="59" t="str">
        <f>INDEX(ResumoLotesSUPERBID[Descrição],MATCH(Tabela1[[#This Row],[Lote]],ResumoLotesSUPERBID[LOTES],0))</f>
        <v>1% do Valor de Comparação do VMA</v>
      </c>
    </row>
    <row r="171" spans="1:29" x14ac:dyDescent="0.25">
      <c r="A171" s="20" t="s">
        <v>377</v>
      </c>
      <c r="B171" t="s">
        <v>47</v>
      </c>
      <c r="D171" s="16" t="s">
        <v>378</v>
      </c>
      <c r="E171" t="s">
        <v>61</v>
      </c>
      <c r="F171" s="22">
        <v>11144231</v>
      </c>
      <c r="G171" t="s">
        <v>379</v>
      </c>
      <c r="H171" s="6">
        <v>4419</v>
      </c>
      <c r="J171" s="6" t="s">
        <v>386</v>
      </c>
      <c r="K171" t="s">
        <v>385</v>
      </c>
      <c r="M171">
        <v>2</v>
      </c>
      <c r="N171" t="s">
        <v>391</v>
      </c>
      <c r="O171" s="7">
        <v>35125.589999999997</v>
      </c>
      <c r="P171" s="7">
        <f>Tabela1[[#This Row],[Valor Contábil Unitário]]*Tabela1[[#This Row],[Quantidade]]</f>
        <v>70251.179999999993</v>
      </c>
      <c r="Q171" s="7">
        <v>35125.589999999997</v>
      </c>
      <c r="R171" s="7">
        <f>Tabela1[[#This Row],[Valor de Reposição Unitário]]*Tabela1[[#This Row],[Quantidade]]</f>
        <v>70251.179999999993</v>
      </c>
      <c r="S171" s="48">
        <f>IF(Tabela1[[#This Row],[Valor Contábil Total]]&gt;Tabela1[[#This Row],[Valor total de Reposição]],Tabela1[[#This Row],[Valor Contábil Total]],Tabela1[[#This Row],[Valor total de Reposição]])</f>
        <v>70251.179999999993</v>
      </c>
      <c r="T171" s="7">
        <v>12645.2124</v>
      </c>
      <c r="U171" s="7">
        <f>Tabela1[[#This Row],[VMA - Unitário]]*Tabela1[[#This Row],[Quantidade]]</f>
        <v>25290.424800000001</v>
      </c>
      <c r="V171" s="48">
        <f>INDEX(ResumoLotesSUPERBID[VMA Total do Lote],MATCH(Tabela1[[#This Row],[Lote]],ResumoLotesSUPERBID[LOTES],0))</f>
        <v>74154.898799999995</v>
      </c>
      <c r="W171" s="57">
        <f>Tabela1[[#This Row],[VMA - Total]]/Tabela1[[#This Row],[VMA total do Lote]]</f>
        <v>0.34104860513948948</v>
      </c>
      <c r="X171" t="s">
        <v>392</v>
      </c>
      <c r="Y171" t="s">
        <v>393</v>
      </c>
      <c r="Z171" s="55" t="str">
        <f>Tabela1[[#This Row],[Material]]&amp;"-"&amp;Tabela1[[#This Row],[Centro
Origem]]&amp;"-"&amp;Tabela1[[#This Row],[Depósito]]&amp;"-"&amp;Tabela1[[#This Row],[Tipo de Avaliação]]&amp;"-"&amp;Tabela1[[#This Row],[Elemento PEP]]</f>
        <v>11144231-4419-JI01-IMOB/NAC-</v>
      </c>
      <c r="AA171" s="58" t="str">
        <f>INDEX(ResumoLotesSUPERBID[Sugestão],MATCH(Tabela1[[#This Row],[Lote]],ResumoLotesSUPERBID[LOTES],0))</f>
        <v>Para Leilão</v>
      </c>
      <c r="AB171" s="56">
        <f>INDEX(ResumoLotesSUPERBID[VMA / Comparação],MATCH(Tabela1[[#This Row],[Lote]],ResumoLotesSUPERBID[LOTES],0))</f>
        <v>0.35999998252307053</v>
      </c>
      <c r="AC171" s="59" t="str">
        <f>INDEX(ResumoLotesSUPERBID[Descrição],MATCH(Tabela1[[#This Row],[Lote]],ResumoLotesSUPERBID[LOTES],0))</f>
        <v>1% do Valor de Comparação do VMA</v>
      </c>
    </row>
    <row r="172" spans="1:29" x14ac:dyDescent="0.25">
      <c r="A172" s="20" t="s">
        <v>380</v>
      </c>
      <c r="B172" t="s">
        <v>47</v>
      </c>
      <c r="D172" s="16" t="s">
        <v>378</v>
      </c>
      <c r="E172" t="s">
        <v>61</v>
      </c>
      <c r="F172" s="22">
        <v>11144233</v>
      </c>
      <c r="G172" t="s">
        <v>381</v>
      </c>
      <c r="H172" s="6">
        <v>4419</v>
      </c>
      <c r="J172" s="6" t="s">
        <v>386</v>
      </c>
      <c r="K172" t="s">
        <v>385</v>
      </c>
      <c r="M172">
        <v>2</v>
      </c>
      <c r="N172" t="s">
        <v>391</v>
      </c>
      <c r="O172" s="7">
        <v>67867.33</v>
      </c>
      <c r="P172" s="7">
        <f>Tabela1[[#This Row],[Valor Contábil Unitário]]*Tabela1[[#This Row],[Quantidade]]</f>
        <v>135734.66</v>
      </c>
      <c r="Q172" s="7">
        <v>67867.324999999997</v>
      </c>
      <c r="R172" s="7">
        <f>Tabela1[[#This Row],[Valor de Reposição Unitário]]*Tabela1[[#This Row],[Quantidade]]</f>
        <v>135734.65</v>
      </c>
      <c r="S172" s="48">
        <f>IF(Tabela1[[#This Row],[Valor Contábil Total]]&gt;Tabela1[[#This Row],[Valor total de Reposição]],Tabela1[[#This Row],[Valor Contábil Total]],Tabela1[[#This Row],[Valor total de Reposição]])</f>
        <v>135734.66</v>
      </c>
      <c r="T172" s="7">
        <v>24432.237000000001</v>
      </c>
      <c r="U172" s="7">
        <f>Tabela1[[#This Row],[VMA - Unitário]]*Tabela1[[#This Row],[Quantidade]]</f>
        <v>48864.474000000002</v>
      </c>
      <c r="V172" s="48">
        <f>INDEX(ResumoLotesSUPERBID[VMA Total do Lote],MATCH(Tabela1[[#This Row],[Lote]],ResumoLotesSUPERBID[LOTES],0))</f>
        <v>74154.898799999995</v>
      </c>
      <c r="W172" s="57">
        <f>Tabela1[[#This Row],[VMA - Total]]/Tabela1[[#This Row],[VMA total do Lote]]</f>
        <v>0.65895139486051058</v>
      </c>
      <c r="X172" t="s">
        <v>392</v>
      </c>
      <c r="Y172" t="s">
        <v>393</v>
      </c>
      <c r="Z172" s="55" t="str">
        <f>Tabela1[[#This Row],[Material]]&amp;"-"&amp;Tabela1[[#This Row],[Centro
Origem]]&amp;"-"&amp;Tabela1[[#This Row],[Depósito]]&amp;"-"&amp;Tabela1[[#This Row],[Tipo de Avaliação]]&amp;"-"&amp;Tabela1[[#This Row],[Elemento PEP]]</f>
        <v>11144233-4419-JI01-IMOB/NAC-</v>
      </c>
      <c r="AA172" s="58" t="str">
        <f>INDEX(ResumoLotesSUPERBID[Sugestão],MATCH(Tabela1[[#This Row],[Lote]],ResumoLotesSUPERBID[LOTES],0))</f>
        <v>Para Leilão</v>
      </c>
      <c r="AB172" s="56">
        <f>INDEX(ResumoLotesSUPERBID[VMA / Comparação],MATCH(Tabela1[[#This Row],[Lote]],ResumoLotesSUPERBID[LOTES],0))</f>
        <v>0.35999998252307053</v>
      </c>
      <c r="AC172" s="59" t="str">
        <f>INDEX(ResumoLotesSUPERBID[Descrição],MATCH(Tabela1[[#This Row],[Lote]],ResumoLotesSUPERBID[LOTES],0))</f>
        <v>1% do Valor de Comparação do VMA</v>
      </c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Z1 E1:G1 L1:X1 H1:K1" numberStoredAsText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0000"/>
  </sheetPr>
  <dimension ref="A1:D36"/>
  <sheetViews>
    <sheetView topLeftCell="E1" workbookViewId="0">
      <selection activeCell="G11" sqref="G11"/>
    </sheetView>
  </sheetViews>
  <sheetFormatPr defaultRowHeight="15" x14ac:dyDescent="0.25"/>
  <cols>
    <col min="1" max="1" width="7" style="54" hidden="1" customWidth="1"/>
    <col min="2" max="2" width="16.5703125" style="54" hidden="1" customWidth="1"/>
    <col min="3" max="4" width="0" style="54" hidden="1" customWidth="1"/>
    <col min="5" max="16384" width="9.140625" style="54"/>
  </cols>
  <sheetData>
    <row r="1" spans="1:4" x14ac:dyDescent="0.25">
      <c r="A1" s="54" t="s">
        <v>2</v>
      </c>
      <c r="B1" s="54" t="s">
        <v>45</v>
      </c>
      <c r="C1" s="54">
        <f>COUNTA('[1]LISTA DOS ITENS'!$D:$D)</f>
        <v>3451</v>
      </c>
      <c r="D1" s="54">
        <f>COUNTA(A:A)</f>
        <v>1</v>
      </c>
    </row>
    <row r="2" spans="1:4" x14ac:dyDescent="0.25">
      <c r="A2" s="64"/>
    </row>
    <row r="3" spans="1:4" x14ac:dyDescent="0.25">
      <c r="A3" s="63"/>
    </row>
    <row r="4" spans="1:4" x14ac:dyDescent="0.25">
      <c r="A4" s="63"/>
    </row>
    <row r="5" spans="1:4" x14ac:dyDescent="0.25">
      <c r="A5"/>
    </row>
    <row r="6" spans="1:4" x14ac:dyDescent="0.25">
      <c r="A6"/>
    </row>
    <row r="7" spans="1:4" x14ac:dyDescent="0.25">
      <c r="A7"/>
    </row>
    <row r="8" spans="1:4" x14ac:dyDescent="0.25">
      <c r="A8"/>
    </row>
    <row r="9" spans="1:4" x14ac:dyDescent="0.25">
      <c r="A9"/>
    </row>
    <row r="10" spans="1:4" x14ac:dyDescent="0.25">
      <c r="A10"/>
    </row>
    <row r="11" spans="1:4" x14ac:dyDescent="0.25">
      <c r="A11"/>
    </row>
    <row r="12" spans="1:4" x14ac:dyDescent="0.25">
      <c r="A12"/>
    </row>
    <row r="13" spans="1:4" x14ac:dyDescent="0.25">
      <c r="A13"/>
    </row>
    <row r="14" spans="1:4" x14ac:dyDescent="0.25">
      <c r="A14"/>
    </row>
    <row r="15" spans="1:4" x14ac:dyDescent="0.25">
      <c r="A15"/>
    </row>
    <row r="16" spans="1:4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T684"/>
  <sheetViews>
    <sheetView zoomScale="90" zoomScaleNormal="90" workbookViewId="0">
      <pane ySplit="2" topLeftCell="A3" activePane="bottomLeft" state="frozen"/>
      <selection pane="bottomLeft" activeCell="P1" sqref="P1:T1048576"/>
    </sheetView>
  </sheetViews>
  <sheetFormatPr defaultRowHeight="15" x14ac:dyDescent="0.25"/>
  <cols>
    <col min="1" max="1" width="9.140625" style="18"/>
    <col min="2" max="2" width="9.140625" style="18" hidden="1" customWidth="1"/>
    <col min="3" max="3" width="14.7109375" style="18" hidden="1" customWidth="1"/>
    <col min="4" max="4" width="12.42578125" style="23" hidden="1" customWidth="1"/>
    <col min="5" max="5" width="22.42578125" style="7" hidden="1" customWidth="1"/>
    <col min="6" max="6" width="22.42578125" style="7" customWidth="1"/>
    <col min="7" max="7" width="22.42578125" style="7" hidden="1" customWidth="1"/>
    <col min="8" max="8" width="22.42578125" style="13" customWidth="1"/>
    <col min="9" max="9" width="9.7109375" style="14" hidden="1" customWidth="1"/>
    <col min="10" max="10" width="11.85546875" style="15" hidden="1" customWidth="1"/>
    <col min="11" max="11" width="21.85546875" style="7" bestFit="1" customWidth="1"/>
    <col min="12" max="12" width="33.5703125" hidden="1" customWidth="1"/>
    <col min="13" max="13" width="12" hidden="1" customWidth="1"/>
    <col min="14" max="14" width="22.42578125" hidden="1" customWidth="1"/>
    <col min="15" max="15" width="3.7109375" customWidth="1"/>
    <col min="16" max="16" width="17.85546875" hidden="1" customWidth="1"/>
    <col min="17" max="17" width="12.42578125" hidden="1" customWidth="1"/>
    <col min="18" max="18" width="15" hidden="1" customWidth="1"/>
    <col min="19" max="19" width="10.7109375" hidden="1" customWidth="1"/>
    <col min="20" max="20" width="20.7109375" hidden="1" customWidth="1"/>
  </cols>
  <sheetData>
    <row r="1" spans="1:20" s="12" customFormat="1" ht="15.75" x14ac:dyDescent="0.25">
      <c r="A1" s="25" t="s">
        <v>28</v>
      </c>
      <c r="B1" s="26"/>
      <c r="C1" s="26"/>
      <c r="D1" s="27"/>
      <c r="E1" s="28">
        <f>ResumoLotesSUPERBID[[#Totals],[Valor Contábil Total do Lote]]</f>
        <v>32639376.98</v>
      </c>
      <c r="F1" s="28">
        <f>ResumoLotesSUPERBID[[#Totals],[VMA Total do Lote]]</f>
        <v>5598038.6703101033</v>
      </c>
      <c r="G1" s="28">
        <f>ResumoLotesSUPERBID[[#Totals],[Valor Total de Reposição do Lote]]</f>
        <v>41242234.09875761</v>
      </c>
      <c r="H1" s="28">
        <f>ResumoLotesSUPERBID[[#Totals],[Valor Comparação VMA do Lote]]</f>
        <v>42099244.959344454</v>
      </c>
      <c r="I1" s="28"/>
      <c r="J1" s="28"/>
      <c r="K1" s="28">
        <f>ResumoLotesSUPERBID[[#Totals],[Lance de Partida]]</f>
        <v>420992.44959344441</v>
      </c>
      <c r="L1" s="51">
        <f>SUBTOTAL(3,ResumoLotesSUPERBID[Descrição])</f>
        <v>22</v>
      </c>
      <c r="M1" s="51">
        <f>COUNTIF(ResumoLotesSUPERBID[Sugestão],"Para Leilão")</f>
        <v>22</v>
      </c>
      <c r="N1"/>
      <c r="O1"/>
      <c r="P1" s="37" t="s">
        <v>35</v>
      </c>
      <c r="Q1" s="37" t="s">
        <v>37</v>
      </c>
      <c r="R1" s="41" t="s">
        <v>38</v>
      </c>
      <c r="S1" s="38" t="s">
        <v>39</v>
      </c>
      <c r="T1" s="38" t="s">
        <v>14</v>
      </c>
    </row>
    <row r="2" spans="1:20" s="11" customFormat="1" ht="45" x14ac:dyDescent="0.25">
      <c r="A2" s="17" t="s">
        <v>25</v>
      </c>
      <c r="B2" s="29" t="s">
        <v>3</v>
      </c>
      <c r="C2" s="29" t="s">
        <v>42</v>
      </c>
      <c r="D2" s="30" t="s">
        <v>44</v>
      </c>
      <c r="E2" s="29" t="s">
        <v>26</v>
      </c>
      <c r="F2" s="29" t="s">
        <v>27</v>
      </c>
      <c r="G2" s="31" t="s">
        <v>29</v>
      </c>
      <c r="H2" s="29" t="s">
        <v>30</v>
      </c>
      <c r="I2" s="32" t="s">
        <v>31</v>
      </c>
      <c r="J2" s="29" t="s">
        <v>32</v>
      </c>
      <c r="K2" s="29" t="s">
        <v>35</v>
      </c>
      <c r="L2" s="29" t="s">
        <v>36</v>
      </c>
      <c r="M2" s="34" t="s">
        <v>40</v>
      </c>
      <c r="N2" s="34" t="s">
        <v>43</v>
      </c>
      <c r="O2" s="34"/>
      <c r="P2" s="36">
        <v>0</v>
      </c>
      <c r="Q2" s="36">
        <v>0</v>
      </c>
      <c r="R2" s="42">
        <v>0</v>
      </c>
      <c r="S2" s="39">
        <f>COUNTIF(ResumoLotesSUPERBID[Sugestão],"Para Leilão")</f>
        <v>22</v>
      </c>
      <c r="T2" s="40">
        <f>SUMIF(ResumoLotesSUPERBID[Sugestão],"Para Leilão",ResumoLotesSUPERBID[Valor Contábil Total do Lote])</f>
        <v>32639376.98</v>
      </c>
    </row>
    <row r="3" spans="1:20" s="54" customFormat="1" x14ac:dyDescent="0.25">
      <c r="A3" s="16" t="s">
        <v>48</v>
      </c>
      <c r="B3" s="35" t="str">
        <f>INDEX(Tabela1[AL],MATCH(ResumoLotesSUPERBID[[#This Row],[LOTES]],Tabela1[Lote],0))</f>
        <v>AL-02</v>
      </c>
      <c r="C3" s="24" t="str">
        <f>IFERROR(VLOOKUP(ResumoLotesSUPERBID[[#This Row],[LOTES]],SOBRE_EMP!$A:$B,2,0),INDEX('LISTA DOS ITENS'!$K:$K,MATCH(ResumoLotesSUPERBID[[#This Row],[LOTES]],'LISTA DOS ITENS'!D:D,0)))</f>
        <v>A RECUPER</v>
      </c>
      <c r="D3" s="24" t="str">
        <f>INDEX('LISTA DOS ITENS'!B:B,MATCH(ResumoLotesSUPERBID[[#This Row],[LOTES]],'LISTA DOS ITENS'!D:D,0))</f>
        <v>LULA</v>
      </c>
      <c r="E3" s="7">
        <f>SUMIF(Tabela1[Lote],ResumoLotesSUPERBID[[#This Row],[LOTES]],Tabela1[Valor Contábil Total])</f>
        <v>564381.52</v>
      </c>
      <c r="F3" s="7">
        <f>SUMIF(Tabela1[Lote],ResumoLotesSUPERBID[[#This Row],[LOTES]],Tabela1[VMA - Total])</f>
        <v>32722.711518857141</v>
      </c>
      <c r="G3" s="7">
        <f>SUMIF(Tabela1[Lote],ResumoLotesSUPERBID[[#This Row],[LOTES]],Tabela1[Valor total de Reposição])</f>
        <v>314917.86128571426</v>
      </c>
      <c r="H3" s="13">
        <f>SUMIF(Tabela1[Lote],ResumoLotesSUPERBID[[#This Row],[LOTES]],Tabela1[Valor de Comparação com VMA])</f>
        <v>573654.77500000002</v>
      </c>
      <c r="I3" s="14">
        <f>COUNTIF(Tabela1[Lote],ResumoLotesSUPERBID[[#This Row],[LOTES]])</f>
        <v>6</v>
      </c>
      <c r="J3" s="15">
        <f>ResumoLotesSUPERBID[[#This Row],[VMA Total do Lote]]/ResumoLotesSUPERBID[[#This Row],[Valor Comparação VMA do Lote]]</f>
        <v>5.704251571662964E-2</v>
      </c>
      <c r="K3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5736.5477500000006</v>
      </c>
      <c r="L3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3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3" s="52"/>
    </row>
    <row r="4" spans="1:20" s="54" customFormat="1" x14ac:dyDescent="0.25">
      <c r="A4" s="16" t="s">
        <v>60</v>
      </c>
      <c r="B4" s="35" t="str">
        <f>INDEX(Tabela1[AL],MATCH(ResumoLotesSUPERBID[[#This Row],[LOTES]],Tabela1[Lote],0))</f>
        <v>AL-01</v>
      </c>
      <c r="C4" s="24" t="str">
        <f>IFERROR(VLOOKUP(ResumoLotesSUPERBID[[#This Row],[LOTES]],SOBRE_EMP!$A:$B,2,0),INDEX('LISTA DOS ITENS'!$K:$K,MATCH(ResumoLotesSUPERBID[[#This Row],[LOTES]],'LISTA DOS ITENS'!D:D,0)))</f>
        <v>A RECUPER</v>
      </c>
      <c r="D4" s="24" t="str">
        <f>INDEX('LISTA DOS ITENS'!B:B,MATCH(ResumoLotesSUPERBID[[#This Row],[LOTES]],'LISTA DOS ITENS'!D:D,0))</f>
        <v>LULA</v>
      </c>
      <c r="E4" s="7">
        <f>SUMIF(Tabela1[Lote],ResumoLotesSUPERBID[[#This Row],[LOTES]],Tabela1[Valor Contábil Total])</f>
        <v>453404.52</v>
      </c>
      <c r="F4" s="7">
        <f>SUMIF(Tabela1[Lote],ResumoLotesSUPERBID[[#This Row],[LOTES]],Tabela1[VMA - Total])</f>
        <v>62961.195670200002</v>
      </c>
      <c r="G4" s="7">
        <f>SUMIF(Tabela1[Lote],ResumoLotesSUPERBID[[#This Row],[LOTES]],Tabela1[Valor total de Reposição])</f>
        <v>667125.49120000005</v>
      </c>
      <c r="H4" s="13">
        <f>SUMIF(Tabela1[Lote],ResumoLotesSUPERBID[[#This Row],[LOTES]],Tabela1[Valor de Comparação com VMA])</f>
        <v>667125.50120000006</v>
      </c>
      <c r="I4" s="14">
        <f>COUNTIF(Tabela1[Lote],ResumoLotesSUPERBID[[#This Row],[LOTES]])</f>
        <v>7</v>
      </c>
      <c r="J4" s="15">
        <f>ResumoLotesSUPERBID[[#This Row],[VMA Total do Lote]]/ResumoLotesSUPERBID[[#This Row],[Valor Comparação VMA do Lote]]</f>
        <v>9.4376838476340347E-2</v>
      </c>
      <c r="K4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6671.2550120000005</v>
      </c>
      <c r="L4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4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4" s="52"/>
    </row>
    <row r="5" spans="1:20" s="54" customFormat="1" x14ac:dyDescent="0.25">
      <c r="A5" s="16" t="s">
        <v>73</v>
      </c>
      <c r="B5" s="35" t="str">
        <f>INDEX(Tabela1[AL],MATCH(ResumoLotesSUPERBID[[#This Row],[LOTES]],Tabela1[Lote],0))</f>
        <v>AL-01</v>
      </c>
      <c r="C5" s="24" t="str">
        <f>IFERROR(VLOOKUP(ResumoLotesSUPERBID[[#This Row],[LOTES]],SOBRE_EMP!$A:$B,2,0),INDEX('LISTA DOS ITENS'!$K:$K,MATCH(ResumoLotesSUPERBID[[#This Row],[LOTES]],'LISTA DOS ITENS'!D:D,0)))</f>
        <v>IMOB/NAC</v>
      </c>
      <c r="D5" s="24" t="str">
        <f>INDEX('LISTA DOS ITENS'!B:B,MATCH(ResumoLotesSUPERBID[[#This Row],[LOTES]],'LISTA DOS ITENS'!D:D,0))</f>
        <v>LULA</v>
      </c>
      <c r="E5" s="7">
        <f>SUMIF(Tabela1[Lote],ResumoLotesSUPERBID[[#This Row],[LOTES]],Tabela1[Valor Contábil Total])</f>
        <v>1275037.8999999997</v>
      </c>
      <c r="F5" s="7">
        <f>SUMIF(Tabela1[Lote],ResumoLotesSUPERBID[[#This Row],[LOTES]],Tabela1[VMA - Total])</f>
        <v>194633.688375</v>
      </c>
      <c r="G5" s="7">
        <f>SUMIF(Tabela1[Lote],ResumoLotesSUPERBID[[#This Row],[LOTES]],Tabela1[Valor total de Reposição])</f>
        <v>1237827.8424999998</v>
      </c>
      <c r="H5" s="13">
        <f>SUMIF(Tabela1[Lote],ResumoLotesSUPERBID[[#This Row],[LOTES]],Tabela1[Valor de Comparação com VMA])</f>
        <v>1277589.5349999995</v>
      </c>
      <c r="I5" s="14">
        <f>COUNTIF(Tabela1[Lote],ResumoLotesSUPERBID[[#This Row],[LOTES]])</f>
        <v>11</v>
      </c>
      <c r="J5" s="15">
        <f>ResumoLotesSUPERBID[[#This Row],[VMA Total do Lote]]/ResumoLotesSUPERBID[[#This Row],[Valor Comparação VMA do Lote]]</f>
        <v>0.15234446044127942</v>
      </c>
      <c r="K5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12775.895349999995</v>
      </c>
      <c r="L5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5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5" s="52"/>
    </row>
    <row r="6" spans="1:20" s="54" customFormat="1" x14ac:dyDescent="0.25">
      <c r="A6" s="16" t="s">
        <v>90</v>
      </c>
      <c r="B6" s="35" t="str">
        <f>INDEX(Tabela1[AL],MATCH(ResumoLotesSUPERBID[[#This Row],[LOTES]],Tabela1[Lote],0))</f>
        <v>AL-01</v>
      </c>
      <c r="C6" s="24" t="str">
        <f>IFERROR(VLOOKUP(ResumoLotesSUPERBID[[#This Row],[LOTES]],SOBRE_EMP!$A:$B,2,0),INDEX('LISTA DOS ITENS'!$K:$K,MATCH(ResumoLotesSUPERBID[[#This Row],[LOTES]],'LISTA DOS ITENS'!D:D,0)))</f>
        <v>IMOB/NAC</v>
      </c>
      <c r="D6" s="24" t="str">
        <f>INDEX('LISTA DOS ITENS'!B:B,MATCH(ResumoLotesSUPERBID[[#This Row],[LOTES]],'LISTA DOS ITENS'!D:D,0))</f>
        <v>LULA</v>
      </c>
      <c r="E6" s="7">
        <f>SUMIF(Tabela1[Lote],ResumoLotesSUPERBID[[#This Row],[LOTES]],Tabela1[Valor Contábil Total])</f>
        <v>202642.6</v>
      </c>
      <c r="F6" s="7">
        <f>SUMIF(Tabela1[Lote],ResumoLotesSUPERBID[[#This Row],[LOTES]],Tabela1[VMA - Total])</f>
        <v>28090.480320000002</v>
      </c>
      <c r="G6" s="7">
        <f>SUMIF(Tabela1[Lote],ResumoLotesSUPERBID[[#This Row],[LOTES]],Tabela1[Valor total de Reposição])</f>
        <v>202642.62</v>
      </c>
      <c r="H6" s="13">
        <f>SUMIF(Tabela1[Lote],ResumoLotesSUPERBID[[#This Row],[LOTES]],Tabela1[Valor de Comparação com VMA])</f>
        <v>202642.62</v>
      </c>
      <c r="I6" s="14">
        <f>COUNTIF(Tabela1[Lote],ResumoLotesSUPERBID[[#This Row],[LOTES]])</f>
        <v>2</v>
      </c>
      <c r="J6" s="15">
        <f>ResumoLotesSUPERBID[[#This Row],[VMA Total do Lote]]/ResumoLotesSUPERBID[[#This Row],[Valor Comparação VMA do Lote]]</f>
        <v>0.13862079122348497</v>
      </c>
      <c r="K6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2026.4262000000001</v>
      </c>
      <c r="L6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6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6" s="52"/>
    </row>
    <row r="7" spans="1:20" s="54" customFormat="1" x14ac:dyDescent="0.25">
      <c r="A7" s="16" t="s">
        <v>95</v>
      </c>
      <c r="B7" s="35" t="str">
        <f>INDEX(Tabela1[AL],MATCH(ResumoLotesSUPERBID[[#This Row],[LOTES]],Tabela1[Lote],0))</f>
        <v>AL-01</v>
      </c>
      <c r="C7" s="24" t="str">
        <f>IFERROR(VLOOKUP(ResumoLotesSUPERBID[[#This Row],[LOTES]],SOBRE_EMP!$A:$B,2,0),INDEX('LISTA DOS ITENS'!$K:$K,MATCH(ResumoLotesSUPERBID[[#This Row],[LOTES]],'LISTA DOS ITENS'!D:D,0)))</f>
        <v>A RECUPER</v>
      </c>
      <c r="D7" s="24" t="str">
        <f>INDEX('LISTA DOS ITENS'!B:B,MATCH(ResumoLotesSUPERBID[[#This Row],[LOTES]],'LISTA DOS ITENS'!D:D,0))</f>
        <v>LULA</v>
      </c>
      <c r="E7" s="7">
        <f>SUMIF(Tabela1[Lote],ResumoLotesSUPERBID[[#This Row],[LOTES]],Tabela1[Valor Contábil Total])</f>
        <v>596368.55000000005</v>
      </c>
      <c r="F7" s="7">
        <f>SUMIF(Tabela1[Lote],ResumoLotesSUPERBID[[#This Row],[LOTES]],Tabela1[VMA - Total])</f>
        <v>41736.874320000003</v>
      </c>
      <c r="G7" s="7">
        <f>SUMIF(Tabela1[Lote],ResumoLotesSUPERBID[[#This Row],[LOTES]],Tabela1[Valor total de Reposição])</f>
        <v>441114.27</v>
      </c>
      <c r="H7" s="13">
        <f>SUMIF(Tabela1[Lote],ResumoLotesSUPERBID[[#This Row],[LOTES]],Tabela1[Valor de Comparação com VMA])</f>
        <v>678361.14500000002</v>
      </c>
      <c r="I7" s="14">
        <f>COUNTIF(Tabela1[Lote],ResumoLotesSUPERBID[[#This Row],[LOTES]])</f>
        <v>5</v>
      </c>
      <c r="J7" s="15">
        <f>ResumoLotesSUPERBID[[#This Row],[VMA Total do Lote]]/ResumoLotesSUPERBID[[#This Row],[Valor Comparação VMA do Lote]]</f>
        <v>6.152603908350323E-2</v>
      </c>
      <c r="K7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6783.6114500000003</v>
      </c>
      <c r="L7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7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7" s="52"/>
    </row>
    <row r="8" spans="1:20" s="54" customFormat="1" x14ac:dyDescent="0.25">
      <c r="A8" s="16" t="s">
        <v>105</v>
      </c>
      <c r="B8" s="35" t="str">
        <f>INDEX(Tabela1[AL],MATCH(ResumoLotesSUPERBID[[#This Row],[LOTES]],Tabela1[Lote],0))</f>
        <v>AL-01</v>
      </c>
      <c r="C8" s="24" t="str">
        <f>IFERROR(VLOOKUP(ResumoLotesSUPERBID[[#This Row],[LOTES]],SOBRE_EMP!$A:$B,2,0),INDEX('LISTA DOS ITENS'!$K:$K,MATCH(ResumoLotesSUPERBID[[#This Row],[LOTES]],'LISTA DOS ITENS'!D:D,0)))</f>
        <v>USADO</v>
      </c>
      <c r="D8" s="24" t="str">
        <f>INDEX('LISTA DOS ITENS'!B:B,MATCH(ResumoLotesSUPERBID[[#This Row],[LOTES]],'LISTA DOS ITENS'!D:D,0))</f>
        <v>LULA</v>
      </c>
      <c r="E8" s="7">
        <f>SUMIF(Tabela1[Lote],ResumoLotesSUPERBID[[#This Row],[LOTES]],Tabela1[Valor Contábil Total])</f>
        <v>2</v>
      </c>
      <c r="F8" s="7">
        <f>SUMIF(Tabela1[Lote],ResumoLotesSUPERBID[[#This Row],[LOTES]],Tabela1[VMA - Total])</f>
        <v>94122.912240000005</v>
      </c>
      <c r="G8" s="7">
        <f>SUMIF(Tabela1[Lote],ResumoLotesSUPERBID[[#This Row],[LOTES]],Tabela1[Valor total de Reposição])</f>
        <v>373503.62</v>
      </c>
      <c r="H8" s="13">
        <f>SUMIF(Tabela1[Lote],ResumoLotesSUPERBID[[#This Row],[LOTES]],Tabela1[Valor de Comparação com VMA])</f>
        <v>373503.62</v>
      </c>
      <c r="I8" s="14">
        <f>COUNTIF(Tabela1[Lote],ResumoLotesSUPERBID[[#This Row],[LOTES]])</f>
        <v>1</v>
      </c>
      <c r="J8" s="15">
        <f>ResumoLotesSUPERBID[[#This Row],[VMA Total do Lote]]/ResumoLotesSUPERBID[[#This Row],[Valor Comparação VMA do Lote]]</f>
        <v>0.252</v>
      </c>
      <c r="K8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3735.0362</v>
      </c>
      <c r="L8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8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8" s="52"/>
    </row>
    <row r="9" spans="1:20" s="54" customFormat="1" x14ac:dyDescent="0.25">
      <c r="A9" s="16" t="s">
        <v>108</v>
      </c>
      <c r="B9" s="35" t="str">
        <f>INDEX(Tabela1[AL],MATCH(ResumoLotesSUPERBID[[#This Row],[LOTES]],Tabela1[Lote],0))</f>
        <v>AL-01</v>
      </c>
      <c r="C9" s="24" t="str">
        <f>IFERROR(VLOOKUP(ResumoLotesSUPERBID[[#This Row],[LOTES]],SOBRE_EMP!$A:$B,2,0),INDEX('LISTA DOS ITENS'!$K:$K,MATCH(ResumoLotesSUPERBID[[#This Row],[LOTES]],'LISTA DOS ITENS'!D:D,0)))</f>
        <v>USADO</v>
      </c>
      <c r="D9" s="24" t="str">
        <f>INDEX('LISTA DOS ITENS'!B:B,MATCH(ResumoLotesSUPERBID[[#This Row],[LOTES]],'LISTA DOS ITENS'!D:D,0))</f>
        <v>LULA</v>
      </c>
      <c r="E9" s="7">
        <f>SUMIF(Tabela1[Lote],ResumoLotesSUPERBID[[#This Row],[LOTES]],Tabela1[Valor Contábil Total])</f>
        <v>10</v>
      </c>
      <c r="F9" s="7">
        <f>SUMIF(Tabela1[Lote],ResumoLotesSUPERBID[[#This Row],[LOTES]],Tabela1[VMA - Total])</f>
        <v>179742.56199480002</v>
      </c>
      <c r="G9" s="7">
        <f>SUMIF(Tabela1[Lote],ResumoLotesSUPERBID[[#This Row],[LOTES]],Tabela1[Valor total de Reposição])</f>
        <v>713264.13489999995</v>
      </c>
      <c r="H9" s="13">
        <f>SUMIF(Tabela1[Lote],ResumoLotesSUPERBID[[#This Row],[LOTES]],Tabela1[Valor de Comparação com VMA])</f>
        <v>713264.13489999995</v>
      </c>
      <c r="I9" s="14">
        <f>COUNTIF(Tabela1[Lote],ResumoLotesSUPERBID[[#This Row],[LOTES]])</f>
        <v>7</v>
      </c>
      <c r="J9" s="15">
        <f>ResumoLotesSUPERBID[[#This Row],[VMA Total do Lote]]/ResumoLotesSUPERBID[[#This Row],[Valor Comparação VMA do Lote]]</f>
        <v>0.25200000000000006</v>
      </c>
      <c r="K9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7132.6413489999995</v>
      </c>
      <c r="L9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9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9" s="52"/>
    </row>
    <row r="10" spans="1:20" s="54" customFormat="1" x14ac:dyDescent="0.25">
      <c r="A10" s="16" t="s">
        <v>121</v>
      </c>
      <c r="B10" s="35" t="str">
        <f>INDEX(Tabela1[AL],MATCH(ResumoLotesSUPERBID[[#This Row],[LOTES]],Tabela1[Lote],0))</f>
        <v>AL-01</v>
      </c>
      <c r="C10" s="24" t="str">
        <f>IFERROR(VLOOKUP(ResumoLotesSUPERBID[[#This Row],[LOTES]],SOBRE_EMP!$A:$B,2,0),INDEX('LISTA DOS ITENS'!$K:$K,MATCH(ResumoLotesSUPERBID[[#This Row],[LOTES]],'LISTA DOS ITENS'!D:D,0)))</f>
        <v>IMOB/IAMN</v>
      </c>
      <c r="D10" s="24" t="str">
        <f>INDEX('LISTA DOS ITENS'!B:B,MATCH(ResumoLotesSUPERBID[[#This Row],[LOTES]],'LISTA DOS ITENS'!D:D,0))</f>
        <v>LULA</v>
      </c>
      <c r="E10" s="7">
        <f>SUMIF(Tabela1[Lote],ResumoLotesSUPERBID[[#This Row],[LOTES]],Tabela1[Valor Contábil Total])</f>
        <v>171982.18</v>
      </c>
      <c r="F10" s="7">
        <f>SUMIF(Tabela1[Lote],ResumoLotesSUPERBID[[#This Row],[LOTES]],Tabela1[VMA - Total])</f>
        <v>107594.44667999999</v>
      </c>
      <c r="G10" s="7">
        <f>SUMIF(Tabela1[Lote],ResumoLotesSUPERBID[[#This Row],[LOTES]],Tabela1[Valor total de Reposição])</f>
        <v>340971.5</v>
      </c>
      <c r="H10" s="13">
        <f>SUMIF(Tabela1[Lote],ResumoLotesSUPERBID[[#This Row],[LOTES]],Tabela1[Valor de Comparação com VMA])</f>
        <v>340971.5</v>
      </c>
      <c r="I10" s="14">
        <f>COUNTIF(Tabela1[Lote],ResumoLotesSUPERBID[[#This Row],[LOTES]])</f>
        <v>2</v>
      </c>
      <c r="J10" s="15">
        <f>ResumoLotesSUPERBID[[#This Row],[VMA Total do Lote]]/ResumoLotesSUPERBID[[#This Row],[Valor Comparação VMA do Lote]]</f>
        <v>0.31555260976357258</v>
      </c>
      <c r="K10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3409.7150000000001</v>
      </c>
      <c r="L10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0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0" s="52"/>
    </row>
    <row r="11" spans="1:20" s="54" customFormat="1" x14ac:dyDescent="0.25">
      <c r="A11" s="16" t="s">
        <v>126</v>
      </c>
      <c r="B11" s="35" t="str">
        <f>INDEX(Tabela1[AL],MATCH(ResumoLotesSUPERBID[[#This Row],[LOTES]],Tabela1[Lote],0))</f>
        <v>AL-01</v>
      </c>
      <c r="C11" s="24" t="str">
        <f>IFERROR(VLOOKUP(ResumoLotesSUPERBID[[#This Row],[LOTES]],SOBRE_EMP!$A:$B,2,0),INDEX('LISTA DOS ITENS'!$K:$K,MATCH(ResumoLotesSUPERBID[[#This Row],[LOTES]],'LISTA DOS ITENS'!D:D,0)))</f>
        <v>IMOB/IAMN</v>
      </c>
      <c r="D11" s="24" t="str">
        <f>INDEX('LISTA DOS ITENS'!B:B,MATCH(ResumoLotesSUPERBID[[#This Row],[LOTES]],'LISTA DOS ITENS'!D:D,0))</f>
        <v>LULA</v>
      </c>
      <c r="E11" s="7">
        <f>SUMIF(Tabela1[Lote],ResumoLotesSUPERBID[[#This Row],[LOTES]],Tabela1[Valor Contábil Total])</f>
        <v>432555.08999999997</v>
      </c>
      <c r="F11" s="7">
        <f>SUMIF(Tabela1[Lote],ResumoLotesSUPERBID[[#This Row],[LOTES]],Tabela1[VMA - Total])</f>
        <v>1769559.6392039999</v>
      </c>
      <c r="G11" s="7">
        <f>SUMIF(Tabela1[Lote],ResumoLotesSUPERBID[[#This Row],[LOTES]],Tabela1[Valor total de Reposição])</f>
        <v>6891118.1120000007</v>
      </c>
      <c r="H11" s="13">
        <f>SUMIF(Tabela1[Lote],ResumoLotesSUPERBID[[#This Row],[LOTES]],Tabela1[Valor de Comparação com VMA])</f>
        <v>6891118.1220000004</v>
      </c>
      <c r="I11" s="14">
        <f>COUNTIF(Tabela1[Lote],ResumoLotesSUPERBID[[#This Row],[LOTES]])</f>
        <v>24</v>
      </c>
      <c r="J11" s="15">
        <f>ResumoLotesSUPERBID[[#This Row],[VMA Total do Lote]]/ResumoLotesSUPERBID[[#This Row],[Valor Comparação VMA do Lote]]</f>
        <v>0.25678846420505458</v>
      </c>
      <c r="K11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68911.181219999999</v>
      </c>
      <c r="L11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1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1" s="52"/>
    </row>
    <row r="12" spans="1:20" s="54" customFormat="1" x14ac:dyDescent="0.25">
      <c r="A12" s="16" t="s">
        <v>175</v>
      </c>
      <c r="B12" s="35" t="str">
        <f>INDEX(Tabela1[AL],MATCH(ResumoLotesSUPERBID[[#This Row],[LOTES]],Tabela1[Lote],0))</f>
        <v>AL-01</v>
      </c>
      <c r="C12" s="24" t="str">
        <f>IFERROR(VLOOKUP(ResumoLotesSUPERBID[[#This Row],[LOTES]],SOBRE_EMP!$A:$B,2,0),INDEX('LISTA DOS ITENS'!$K:$K,MATCH(ResumoLotesSUPERBID[[#This Row],[LOTES]],'LISTA DOS ITENS'!D:D,0)))</f>
        <v>USADO</v>
      </c>
      <c r="D12" s="24" t="str">
        <f>INDEX('LISTA DOS ITENS'!B:B,MATCH(ResumoLotesSUPERBID[[#This Row],[LOTES]],'LISTA DOS ITENS'!D:D,0))</f>
        <v>LULA</v>
      </c>
      <c r="E12" s="7">
        <f>SUMIF(Tabela1[Lote],ResumoLotesSUPERBID[[#This Row],[LOTES]],Tabela1[Valor Contábil Total])</f>
        <v>9</v>
      </c>
      <c r="F12" s="7">
        <f>SUMIF(Tabela1[Lote],ResumoLotesSUPERBID[[#This Row],[LOTES]],Tabela1[VMA - Total])</f>
        <v>79580.212118399984</v>
      </c>
      <c r="G12" s="7">
        <f>SUMIF(Tabela1[Lote],ResumoLotesSUPERBID[[#This Row],[LOTES]],Tabela1[Valor total de Reposição])</f>
        <v>495692.59669999999</v>
      </c>
      <c r="H12" s="13">
        <f>SUMIF(Tabela1[Lote],ResumoLotesSUPERBID[[#This Row],[LOTES]],Tabela1[Valor de Comparação com VMA])</f>
        <v>495692.59669999999</v>
      </c>
      <c r="I12" s="14">
        <f>COUNTIF(Tabela1[Lote],ResumoLotesSUPERBID[[#This Row],[LOTES]])</f>
        <v>7</v>
      </c>
      <c r="J12" s="15">
        <f>ResumoLotesSUPERBID[[#This Row],[VMA Total do Lote]]/ResumoLotesSUPERBID[[#This Row],[Valor Comparação VMA do Lote]]</f>
        <v>0.16054347522677048</v>
      </c>
      <c r="K12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4956.9259670000001</v>
      </c>
      <c r="L12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2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2" s="52"/>
    </row>
    <row r="13" spans="1:20" s="54" customFormat="1" x14ac:dyDescent="0.25">
      <c r="A13" s="16" t="s">
        <v>190</v>
      </c>
      <c r="B13" s="35" t="str">
        <f>INDEX(Tabela1[AL],MATCH(ResumoLotesSUPERBID[[#This Row],[LOTES]],Tabela1[Lote],0))</f>
        <v>AL-01</v>
      </c>
      <c r="C13" s="24" t="str">
        <f>IFERROR(VLOOKUP(ResumoLotesSUPERBID[[#This Row],[LOTES]],SOBRE_EMP!$A:$B,2,0),INDEX('LISTA DOS ITENS'!$K:$K,MATCH(ResumoLotesSUPERBID[[#This Row],[LOTES]],'LISTA DOS ITENS'!D:D,0)))</f>
        <v>IMOB/IAMN</v>
      </c>
      <c r="D13" s="24" t="str">
        <f>INDEX('LISTA DOS ITENS'!B:B,MATCH(ResumoLotesSUPERBID[[#This Row],[LOTES]],'LISTA DOS ITENS'!D:D,0))</f>
        <v>LULA</v>
      </c>
      <c r="E13" s="7">
        <f>SUMIF(Tabela1[Lote],ResumoLotesSUPERBID[[#This Row],[LOTES]],Tabela1[Valor Contábil Total])</f>
        <v>39603.31</v>
      </c>
      <c r="F13" s="7">
        <f>SUMIF(Tabela1[Lote],ResumoLotesSUPERBID[[#This Row],[LOTES]],Tabela1[VMA - Total])</f>
        <v>252430.51165920001</v>
      </c>
      <c r="G13" s="7">
        <f>SUMIF(Tabela1[Lote],ResumoLotesSUPERBID[[#This Row],[LOTES]],Tabela1[Valor total de Reposição])</f>
        <v>981914.22459999996</v>
      </c>
      <c r="H13" s="13">
        <f>SUMIF(Tabela1[Lote],ResumoLotesSUPERBID[[#This Row],[LOTES]],Tabela1[Valor de Comparação com VMA])</f>
        <v>981914.22459999996</v>
      </c>
      <c r="I13" s="14">
        <f>COUNTIF(Tabela1[Lote],ResumoLotesSUPERBID[[#This Row],[LOTES]])</f>
        <v>13</v>
      </c>
      <c r="J13" s="15">
        <f>ResumoLotesSUPERBID[[#This Row],[VMA Total do Lote]]/ResumoLotesSUPERBID[[#This Row],[Valor Comparação VMA do Lote]]</f>
        <v>0.25708000285058707</v>
      </c>
      <c r="K13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9819.1422459999994</v>
      </c>
      <c r="L13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3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3" s="52"/>
    </row>
    <row r="14" spans="1:20" s="54" customFormat="1" x14ac:dyDescent="0.25">
      <c r="A14" s="16" t="s">
        <v>217</v>
      </c>
      <c r="B14" s="35" t="str">
        <f>INDEX(Tabela1[AL],MATCH(ResumoLotesSUPERBID[[#This Row],[LOTES]],Tabela1[Lote],0))</f>
        <v>AL-01</v>
      </c>
      <c r="C14" s="24" t="str">
        <f>IFERROR(VLOOKUP(ResumoLotesSUPERBID[[#This Row],[LOTES]],SOBRE_EMP!$A:$B,2,0),INDEX('LISTA DOS ITENS'!$K:$K,MATCH(ResumoLotesSUPERBID[[#This Row],[LOTES]],'LISTA DOS ITENS'!D:D,0)))</f>
        <v>A RECUPER</v>
      </c>
      <c r="D14" s="24" t="str">
        <f>INDEX('LISTA DOS ITENS'!B:B,MATCH(ResumoLotesSUPERBID[[#This Row],[LOTES]],'LISTA DOS ITENS'!D:D,0))</f>
        <v>LULA</v>
      </c>
      <c r="E14" s="7">
        <f>SUMIF(Tabela1[Lote],ResumoLotesSUPERBID[[#This Row],[LOTES]],Tabela1[Valor Contábil Total])</f>
        <v>644131.87</v>
      </c>
      <c r="F14" s="7">
        <f>SUMIF(Tabela1[Lote],ResumoLotesSUPERBID[[#This Row],[LOTES]],Tabela1[VMA - Total])</f>
        <v>34868.674761999995</v>
      </c>
      <c r="G14" s="7">
        <f>SUMIF(Tabela1[Lote],ResumoLotesSUPERBID[[#This Row],[LOTES]],Tabela1[Valor total de Reposição])</f>
        <v>322893.15894444444</v>
      </c>
      <c r="H14" s="13">
        <f>SUMIF(Tabela1[Lote],ResumoLotesSUPERBID[[#This Row],[LOTES]],Tabela1[Valor de Comparação com VMA])</f>
        <v>644157.45894444443</v>
      </c>
      <c r="I14" s="14">
        <f>COUNTIF(Tabela1[Lote],ResumoLotesSUPERBID[[#This Row],[LOTES]])</f>
        <v>5</v>
      </c>
      <c r="J14" s="15">
        <f>ResumoLotesSUPERBID[[#This Row],[VMA Total do Lote]]/ResumoLotesSUPERBID[[#This Row],[Valor Comparação VMA do Lote]]</f>
        <v>5.413066988176761E-2</v>
      </c>
      <c r="K14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6441.5745894444444</v>
      </c>
      <c r="L14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4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4" s="52"/>
    </row>
    <row r="15" spans="1:20" s="54" customFormat="1" x14ac:dyDescent="0.25">
      <c r="A15" s="16" t="s">
        <v>227</v>
      </c>
      <c r="B15" s="35" t="str">
        <f>INDEX(Tabela1[AL],MATCH(ResumoLotesSUPERBID[[#This Row],[LOTES]],Tabela1[Lote],0))</f>
        <v>AL-02</v>
      </c>
      <c r="C15" s="24" t="str">
        <f>IFERROR(VLOOKUP(ResumoLotesSUPERBID[[#This Row],[LOTES]],SOBRE_EMP!$A:$B,2,0),INDEX('LISTA DOS ITENS'!$K:$K,MATCH(ResumoLotesSUPERBID[[#This Row],[LOTES]],'LISTA DOS ITENS'!D:D,0)))</f>
        <v>IMOB/NAC</v>
      </c>
      <c r="D15" s="24" t="str">
        <f>INDEX('LISTA DOS ITENS'!B:B,MATCH(ResumoLotesSUPERBID[[#This Row],[LOTES]],'LISTA DOS ITENS'!D:D,0))</f>
        <v>LULA</v>
      </c>
      <c r="E15" s="7">
        <f>SUMIF(Tabela1[Lote],ResumoLotesSUPERBID[[#This Row],[LOTES]],Tabela1[Valor Contábil Total])</f>
        <v>5819136.2799999993</v>
      </c>
      <c r="F15" s="7">
        <f>SUMIF(Tabela1[Lote],ResumoLotesSUPERBID[[#This Row],[LOTES]],Tabela1[VMA - Total])</f>
        <v>349148.19361582916</v>
      </c>
      <c r="G15" s="7">
        <f>SUMIF(Tabela1[Lote],ResumoLotesSUPERBID[[#This Row],[LOTES]],Tabela1[Valor total de Reposição])</f>
        <v>5819136.5602638191</v>
      </c>
      <c r="H15" s="13">
        <f>SUMIF(Tabela1[Lote],ResumoLotesSUPERBID[[#This Row],[LOTES]],Tabela1[Valor de Comparação com VMA])</f>
        <v>5819136.6299999999</v>
      </c>
      <c r="I15" s="14">
        <f>COUNTIF(Tabela1[Lote],ResumoLotesSUPERBID[[#This Row],[LOTES]])</f>
        <v>5</v>
      </c>
      <c r="J15" s="15">
        <f>ResumoLotesSUPERBID[[#This Row],[VMA Total do Lote]]/ResumoLotesSUPERBID[[#This Row],[Valor Comparação VMA do Lote]]</f>
        <v>5.999999928096364E-2</v>
      </c>
      <c r="K15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58191.366300000002</v>
      </c>
      <c r="L15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5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5" s="52"/>
    </row>
    <row r="16" spans="1:20" s="54" customFormat="1" x14ac:dyDescent="0.25">
      <c r="A16" s="16" t="s">
        <v>237</v>
      </c>
      <c r="B16" s="35" t="str">
        <f>INDEX(Tabela1[AL],MATCH(ResumoLotesSUPERBID[[#This Row],[LOTES]],Tabela1[Lote],0))</f>
        <v>AL-02</v>
      </c>
      <c r="C16" s="24" t="str">
        <f>IFERROR(VLOOKUP(ResumoLotesSUPERBID[[#This Row],[LOTES]],SOBRE_EMP!$A:$B,2,0),INDEX('LISTA DOS ITENS'!$K:$K,MATCH(ResumoLotesSUPERBID[[#This Row],[LOTES]],'LISTA DOS ITENS'!D:D,0)))</f>
        <v>IMOB/NAC</v>
      </c>
      <c r="D16" s="24" t="str">
        <f>INDEX('LISTA DOS ITENS'!B:B,MATCH(ResumoLotesSUPERBID[[#This Row],[LOTES]],'LISTA DOS ITENS'!D:D,0))</f>
        <v>LULA</v>
      </c>
      <c r="E16" s="7">
        <f>SUMIF(Tabela1[Lote],ResumoLotesSUPERBID[[#This Row],[LOTES]],Tabela1[Valor Contábil Total])</f>
        <v>17441142.210000005</v>
      </c>
      <c r="F16" s="7">
        <f>SUMIF(Tabela1[Lote],ResumoLotesSUPERBID[[#This Row],[LOTES]],Tabela1[VMA - Total])</f>
        <v>1046468.5364399999</v>
      </c>
      <c r="G16" s="7">
        <f>SUMIF(Tabela1[Lote],ResumoLotesSUPERBID[[#This Row],[LOTES]],Tabela1[Valor total de Reposição])</f>
        <v>17441142.274</v>
      </c>
      <c r="H16" s="13">
        <f>SUMIF(Tabela1[Lote],ResumoLotesSUPERBID[[#This Row],[LOTES]],Tabela1[Valor de Comparação com VMA])</f>
        <v>17441142.609999999</v>
      </c>
      <c r="I16" s="14">
        <f>COUNTIF(Tabela1[Lote],ResumoLotesSUPERBID[[#This Row],[LOTES]])</f>
        <v>4</v>
      </c>
      <c r="J16" s="15">
        <f>ResumoLotesSUPERBID[[#This Row],[VMA Total do Lote]]/ResumoLotesSUPERBID[[#This Row],[Valor Comparação VMA do Lote]]</f>
        <v>5.9999998844112425E-2</v>
      </c>
      <c r="K16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174411.42610000001</v>
      </c>
      <c r="L16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6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6" s="52"/>
    </row>
    <row r="17" spans="1:14" s="54" customFormat="1" x14ac:dyDescent="0.25">
      <c r="A17" s="16" t="s">
        <v>244</v>
      </c>
      <c r="B17" s="35" t="str">
        <f>INDEX(Tabela1[AL],MATCH(ResumoLotesSUPERBID[[#This Row],[LOTES]],Tabela1[Lote],0))</f>
        <v>AL-01</v>
      </c>
      <c r="C17" s="24" t="str">
        <f>IFERROR(VLOOKUP(ResumoLotesSUPERBID[[#This Row],[LOTES]],SOBRE_EMP!$A:$B,2,0),INDEX('LISTA DOS ITENS'!$K:$K,MATCH(ResumoLotesSUPERBID[[#This Row],[LOTES]],'LISTA DOS ITENS'!D:D,0)))</f>
        <v>IMOB/IAMN</v>
      </c>
      <c r="D17" s="24" t="str">
        <f>INDEX('LISTA DOS ITENS'!B:B,MATCH(ResumoLotesSUPERBID[[#This Row],[LOTES]],'LISTA DOS ITENS'!D:D,0))</f>
        <v>LULA</v>
      </c>
      <c r="E17" s="7">
        <f>SUMIF(Tabela1[Lote],ResumoLotesSUPERBID[[#This Row],[LOTES]],Tabela1[Valor Contábil Total])</f>
        <v>349647.64999999997</v>
      </c>
      <c r="F17" s="7">
        <f>SUMIF(Tabela1[Lote],ResumoLotesSUPERBID[[#This Row],[LOTES]],Tabela1[VMA - Total])</f>
        <v>20978.851200000001</v>
      </c>
      <c r="G17" s="7">
        <f>SUMIF(Tabela1[Lote],ResumoLotesSUPERBID[[#This Row],[LOTES]],Tabela1[Valor total de Reposição])</f>
        <v>349647.52</v>
      </c>
      <c r="H17" s="13">
        <f>SUMIF(Tabela1[Lote],ResumoLotesSUPERBID[[#This Row],[LOTES]],Tabela1[Valor de Comparação com VMA])</f>
        <v>349647.64999999997</v>
      </c>
      <c r="I17" s="14">
        <f>COUNTIF(Tabela1[Lote],ResumoLotesSUPERBID[[#This Row],[LOTES]])</f>
        <v>1</v>
      </c>
      <c r="J17" s="15">
        <f>ResumoLotesSUPERBID[[#This Row],[VMA Total do Lote]]/ResumoLotesSUPERBID[[#This Row],[Valor Comparação VMA do Lote]]</f>
        <v>5.9999977691827765E-2</v>
      </c>
      <c r="K17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3496.4764999999998</v>
      </c>
      <c r="L17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7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7" s="52"/>
    </row>
    <row r="18" spans="1:14" s="54" customFormat="1" x14ac:dyDescent="0.25">
      <c r="A18" s="16" t="s">
        <v>247</v>
      </c>
      <c r="B18" s="35" t="str">
        <f>INDEX(Tabela1[AL],MATCH(ResumoLotesSUPERBID[[#This Row],[LOTES]],Tabela1[Lote],0))</f>
        <v>AL-01</v>
      </c>
      <c r="C18" s="24" t="str">
        <f>IFERROR(VLOOKUP(ResumoLotesSUPERBID[[#This Row],[LOTES]],SOBRE_EMP!$A:$B,2,0),INDEX('LISTA DOS ITENS'!$K:$K,MATCH(ResumoLotesSUPERBID[[#This Row],[LOTES]],'LISTA DOS ITENS'!D:D,0)))</f>
        <v>IMOB/NAC</v>
      </c>
      <c r="D18" s="24" t="str">
        <f>INDEX('LISTA DOS ITENS'!B:B,MATCH(ResumoLotesSUPERBID[[#This Row],[LOTES]],'LISTA DOS ITENS'!D:D,0))</f>
        <v>LULA</v>
      </c>
      <c r="E18" s="7">
        <f>SUMIF(Tabela1[Lote],ResumoLotesSUPERBID[[#This Row],[LOTES]],Tabela1[Valor Contábil Total])</f>
        <v>179454.56</v>
      </c>
      <c r="F18" s="7">
        <f>SUMIF(Tabela1[Lote],ResumoLotesSUPERBID[[#This Row],[LOTES]],Tabela1[VMA - Total])</f>
        <v>10767.272781818183</v>
      </c>
      <c r="G18" s="7">
        <f>SUMIF(Tabela1[Lote],ResumoLotesSUPERBID[[#This Row],[LOTES]],Tabela1[Valor total de Reposição])</f>
        <v>179454.54636363639</v>
      </c>
      <c r="H18" s="13">
        <f>SUMIF(Tabela1[Lote],ResumoLotesSUPERBID[[#This Row],[LOTES]],Tabela1[Valor de Comparação com VMA])</f>
        <v>179454.56</v>
      </c>
      <c r="I18" s="14">
        <f>COUNTIF(Tabela1[Lote],ResumoLotesSUPERBID[[#This Row],[LOTES]])</f>
        <v>3</v>
      </c>
      <c r="J18" s="15">
        <f>ResumoLotesSUPERBID[[#This Row],[VMA Total do Lote]]/ResumoLotesSUPERBID[[#This Row],[Valor Comparação VMA do Lote]]</f>
        <v>5.9999995440729863E-2</v>
      </c>
      <c r="K18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1794.5455999999999</v>
      </c>
      <c r="L18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8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8" s="52"/>
    </row>
    <row r="19" spans="1:14" s="54" customFormat="1" x14ac:dyDescent="0.25">
      <c r="A19" s="16" t="s">
        <v>254</v>
      </c>
      <c r="B19" s="35" t="str">
        <f>INDEX(Tabela1[AL],MATCH(ResumoLotesSUPERBID[[#This Row],[LOTES]],Tabela1[Lote],0))</f>
        <v>AL-01</v>
      </c>
      <c r="C19" s="24" t="str">
        <f>IFERROR(VLOOKUP(ResumoLotesSUPERBID[[#This Row],[LOTES]],SOBRE_EMP!$A:$B,2,0),INDEX('LISTA DOS ITENS'!$K:$K,MATCH(ResumoLotesSUPERBID[[#This Row],[LOTES]],'LISTA DOS ITENS'!D:D,0)))</f>
        <v>IMOB/NAC</v>
      </c>
      <c r="D19" s="24" t="str">
        <f>INDEX('LISTA DOS ITENS'!B:B,MATCH(ResumoLotesSUPERBID[[#This Row],[LOTES]],'LISTA DOS ITENS'!D:D,0))</f>
        <v>LULA</v>
      </c>
      <c r="E19" s="7">
        <f>SUMIF(Tabela1[Lote],ResumoLotesSUPERBID[[#This Row],[LOTES]],Tabela1[Valor Contábil Total])</f>
        <v>708867.49000000011</v>
      </c>
      <c r="F19" s="7">
        <f>SUMIF(Tabela1[Lote],ResumoLotesSUPERBID[[#This Row],[LOTES]],Tabela1[VMA - Total])</f>
        <v>188702.06634000002</v>
      </c>
      <c r="G19" s="7">
        <f>SUMIF(Tabela1[Lote],ResumoLotesSUPERBID[[#This Row],[LOTES]],Tabela1[Valor total de Reposição])</f>
        <v>708867.51700000011</v>
      </c>
      <c r="H19" s="13">
        <f>SUMIF(Tabela1[Lote],ResumoLotesSUPERBID[[#This Row],[LOTES]],Tabela1[Valor de Comparação com VMA])</f>
        <v>708867.74</v>
      </c>
      <c r="I19" s="14">
        <f>COUNTIF(Tabela1[Lote],ResumoLotesSUPERBID[[#This Row],[LOTES]])</f>
        <v>19</v>
      </c>
      <c r="J19" s="15">
        <f>ResumoLotesSUPERBID[[#This Row],[VMA Total do Lote]]/ResumoLotesSUPERBID[[#This Row],[Valor Comparação VMA do Lote]]</f>
        <v>0.26620207930466694</v>
      </c>
      <c r="K19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7088.6774000000005</v>
      </c>
      <c r="L19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19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19" s="52"/>
    </row>
    <row r="20" spans="1:14" s="54" customFormat="1" x14ac:dyDescent="0.25">
      <c r="A20" s="16" t="s">
        <v>290</v>
      </c>
      <c r="B20" s="35" t="str">
        <f>INDEX(Tabela1[AL],MATCH(ResumoLotesSUPERBID[[#This Row],[LOTES]],Tabela1[Lote],0))</f>
        <v>AL-01</v>
      </c>
      <c r="C20" s="24" t="str">
        <f>IFERROR(VLOOKUP(ResumoLotesSUPERBID[[#This Row],[LOTES]],SOBRE_EMP!$A:$B,2,0),INDEX('LISTA DOS ITENS'!$K:$K,MATCH(ResumoLotesSUPERBID[[#This Row],[LOTES]],'LISTA DOS ITENS'!D:D,0)))</f>
        <v>IMOB/NAC</v>
      </c>
      <c r="D20" s="24" t="str">
        <f>INDEX('LISTA DOS ITENS'!B:B,MATCH(ResumoLotesSUPERBID[[#This Row],[LOTES]],'LISTA DOS ITENS'!D:D,0))</f>
        <v>LULA</v>
      </c>
      <c r="E20" s="7">
        <f>SUMIF(Tabela1[Lote],ResumoLotesSUPERBID[[#This Row],[LOTES]],Tabela1[Valor Contábil Total])</f>
        <v>2047635.6900000004</v>
      </c>
      <c r="F20" s="7">
        <f>SUMIF(Tabela1[Lote],ResumoLotesSUPERBID[[#This Row],[LOTES]],Tabela1[VMA - Total])</f>
        <v>628472.51433000015</v>
      </c>
      <c r="G20" s="7">
        <f>SUMIF(Tabela1[Lote],ResumoLotesSUPERBID[[#This Row],[LOTES]],Tabela1[Valor total de Reposição])</f>
        <v>2047635.7790000001</v>
      </c>
      <c r="H20" s="13">
        <f>SUMIF(Tabela1[Lote],ResumoLotesSUPERBID[[#This Row],[LOTES]],Tabela1[Valor de Comparação com VMA])</f>
        <v>2047635.976</v>
      </c>
      <c r="I20" s="14">
        <f>COUNTIF(Tabela1[Lote],ResumoLotesSUPERBID[[#This Row],[LOTES]])</f>
        <v>40</v>
      </c>
      <c r="J20" s="15">
        <f>ResumoLotesSUPERBID[[#This Row],[VMA Total do Lote]]/ResumoLotesSUPERBID[[#This Row],[Valor Comparação VMA do Lote]]</f>
        <v>0.30692589976744977</v>
      </c>
      <c r="K20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20476.359759999999</v>
      </c>
      <c r="L20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20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20" s="52"/>
    </row>
    <row r="21" spans="1:14" s="54" customFormat="1" x14ac:dyDescent="0.25">
      <c r="A21" s="16" t="s">
        <v>364</v>
      </c>
      <c r="B21" s="35" t="str">
        <f>INDEX(Tabela1[AL],MATCH(ResumoLotesSUPERBID[[#This Row],[LOTES]],Tabela1[Lote],0))</f>
        <v>AL-02</v>
      </c>
      <c r="C21" s="24" t="str">
        <f>IFERROR(VLOOKUP(ResumoLotesSUPERBID[[#This Row],[LOTES]],SOBRE_EMP!$A:$B,2,0),INDEX('LISTA DOS ITENS'!$K:$K,MATCH(ResumoLotesSUPERBID[[#This Row],[LOTES]],'LISTA DOS ITENS'!D:D,0)))</f>
        <v>IMOB/NAC</v>
      </c>
      <c r="D21" s="24" t="str">
        <f>INDEX('LISTA DOS ITENS'!B:B,MATCH(ResumoLotesSUPERBID[[#This Row],[LOTES]],'LISTA DOS ITENS'!D:D,0))</f>
        <v>LULA</v>
      </c>
      <c r="E21" s="7">
        <f>SUMIF(Tabela1[Lote],ResumoLotesSUPERBID[[#This Row],[LOTES]],Tabela1[Valor Contábil Total])</f>
        <v>847355.99999999988</v>
      </c>
      <c r="F21" s="7">
        <f>SUMIF(Tabela1[Lote],ResumoLotesSUPERBID[[#This Row],[LOTES]],Tabela1[VMA - Total])</f>
        <v>305048.15639999998</v>
      </c>
      <c r="G21" s="7">
        <f>SUMIF(Tabela1[Lote],ResumoLotesSUPERBID[[#This Row],[LOTES]],Tabela1[Valor total de Reposição])</f>
        <v>847355.98999999987</v>
      </c>
      <c r="H21" s="13">
        <f>SUMIF(Tabela1[Lote],ResumoLotesSUPERBID[[#This Row],[LOTES]],Tabela1[Valor de Comparação com VMA])</f>
        <v>847355.99999999988</v>
      </c>
      <c r="I21" s="14">
        <f>COUNTIF(Tabela1[Lote],ResumoLotesSUPERBID[[#This Row],[LOTES]])</f>
        <v>3</v>
      </c>
      <c r="J21" s="15">
        <f>ResumoLotesSUPERBID[[#This Row],[VMA Total do Lote]]/ResumoLotesSUPERBID[[#This Row],[Valor Comparação VMA do Lote]]</f>
        <v>0.35999999575149055</v>
      </c>
      <c r="K21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8473.56</v>
      </c>
      <c r="L21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21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21" s="52"/>
    </row>
    <row r="22" spans="1:14" s="54" customFormat="1" x14ac:dyDescent="0.25">
      <c r="A22" s="16" t="s">
        <v>370</v>
      </c>
      <c r="B22" s="35" t="str">
        <f>INDEX(Tabela1[AL],MATCH(ResumoLotesSUPERBID[[#This Row],[LOTES]],Tabela1[Lote],0))</f>
        <v>AL-02</v>
      </c>
      <c r="C22" s="24" t="str">
        <f>IFERROR(VLOOKUP(ResumoLotesSUPERBID[[#This Row],[LOTES]],SOBRE_EMP!$A:$B,2,0),INDEX('LISTA DOS ITENS'!$K:$K,MATCH(ResumoLotesSUPERBID[[#This Row],[LOTES]],'LISTA DOS ITENS'!D:D,0)))</f>
        <v>IMOB/NAC</v>
      </c>
      <c r="D22" s="24" t="str">
        <f>INDEX('LISTA DOS ITENS'!B:B,MATCH(ResumoLotesSUPERBID[[#This Row],[LOTES]],'LISTA DOS ITENS'!D:D,0))</f>
        <v>LULA</v>
      </c>
      <c r="E22" s="7">
        <f>SUMIF(Tabela1[Lote],ResumoLotesSUPERBID[[#This Row],[LOTES]],Tabela1[Valor Contábil Total])</f>
        <v>505875.58</v>
      </c>
      <c r="F22" s="7">
        <f>SUMIF(Tabela1[Lote],ResumoLotesSUPERBID[[#This Row],[LOTES]],Tabela1[VMA - Total])</f>
        <v>54634.562640000004</v>
      </c>
      <c r="G22" s="7">
        <f>SUMIF(Tabela1[Lote],ResumoLotesSUPERBID[[#This Row],[LOTES]],Tabela1[Valor total de Reposição])</f>
        <v>505875.58</v>
      </c>
      <c r="H22" s="13">
        <f>SUMIF(Tabela1[Lote],ResumoLotesSUPERBID[[#This Row],[LOTES]],Tabela1[Valor de Comparação com VMA])</f>
        <v>505875.58</v>
      </c>
      <c r="I22" s="14">
        <f>COUNTIF(Tabela1[Lote],ResumoLotesSUPERBID[[#This Row],[LOTES]])</f>
        <v>1</v>
      </c>
      <c r="J22" s="15">
        <f>ResumoLotesSUPERBID[[#This Row],[VMA Total do Lote]]/ResumoLotesSUPERBID[[#This Row],[Valor Comparação VMA do Lote]]</f>
        <v>0.108</v>
      </c>
      <c r="K22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5058.7557999999999</v>
      </c>
      <c r="L22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22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22" s="52"/>
    </row>
    <row r="23" spans="1:14" s="54" customFormat="1" x14ac:dyDescent="0.25">
      <c r="A23" s="16" t="s">
        <v>373</v>
      </c>
      <c r="B23" s="35" t="str">
        <f>INDEX(Tabela1[AL],MATCH(ResumoLotesSUPERBID[[#This Row],[LOTES]],Tabela1[Lote],0))</f>
        <v>AL-01</v>
      </c>
      <c r="C23" s="24" t="str">
        <f>IFERROR(VLOOKUP(ResumoLotesSUPERBID[[#This Row],[LOTES]],SOBRE_EMP!$A:$B,2,0),INDEX('LISTA DOS ITENS'!$K:$K,MATCH(ResumoLotesSUPERBID[[#This Row],[LOTES]],'LISTA DOS ITENS'!D:D,0)))</f>
        <v>IMOB/NAC3</v>
      </c>
      <c r="D23" s="24" t="str">
        <f>INDEX('LISTA DOS ITENS'!B:B,MATCH(ResumoLotesSUPERBID[[#This Row],[LOTES]],'LISTA DOS ITENS'!D:D,0))</f>
        <v>LULA</v>
      </c>
      <c r="E23" s="7">
        <f>SUMIF(Tabela1[Lote],ResumoLotesSUPERBID[[#This Row],[LOTES]],Tabela1[Valor Contábil Total])</f>
        <v>154147.13999999998</v>
      </c>
      <c r="F23" s="7">
        <f>SUMIF(Tabela1[Lote],ResumoLotesSUPERBID[[#This Row],[LOTES]],Tabela1[VMA - Total])</f>
        <v>41619.708900000005</v>
      </c>
      <c r="G23" s="7">
        <f>SUMIF(Tabela1[Lote],ResumoLotesSUPERBID[[#This Row],[LOTES]],Tabela1[Valor total de Reposição])</f>
        <v>154147.07</v>
      </c>
      <c r="H23" s="13">
        <f>SUMIF(Tabela1[Lote],ResumoLotesSUPERBID[[#This Row],[LOTES]],Tabela1[Valor de Comparação com VMA])</f>
        <v>154147.13999999998</v>
      </c>
      <c r="I23" s="14">
        <f>COUNTIF(Tabela1[Lote],ResumoLotesSUPERBID[[#This Row],[LOTES]])</f>
        <v>3</v>
      </c>
      <c r="J23" s="15">
        <f>ResumoLotesSUPERBID[[#This Row],[VMA Total do Lote]]/ResumoLotesSUPERBID[[#This Row],[Valor Comparação VMA do Lote]]</f>
        <v>0.26999987738987574</v>
      </c>
      <c r="K23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1541.4713999999999</v>
      </c>
      <c r="L23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23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23" s="52"/>
    </row>
    <row r="24" spans="1:14" s="54" customFormat="1" x14ac:dyDescent="0.25">
      <c r="A24" s="16" t="s">
        <v>378</v>
      </c>
      <c r="B24" s="35" t="str">
        <f>INDEX(Tabela1[AL],MATCH(ResumoLotesSUPERBID[[#This Row],[LOTES]],Tabela1[Lote],0))</f>
        <v>AL-01</v>
      </c>
      <c r="C24" s="24" t="str">
        <f>IFERROR(VLOOKUP(ResumoLotesSUPERBID[[#This Row],[LOTES]],SOBRE_EMP!$A:$B,2,0),INDEX('LISTA DOS ITENS'!$K:$K,MATCH(ResumoLotesSUPERBID[[#This Row],[LOTES]],'LISTA DOS ITENS'!D:D,0)))</f>
        <v>IMOB/NAC</v>
      </c>
      <c r="D24" s="24" t="str">
        <f>INDEX('LISTA DOS ITENS'!B:B,MATCH(ResumoLotesSUPERBID[[#This Row],[LOTES]],'LISTA DOS ITENS'!D:D,0))</f>
        <v>LULA</v>
      </c>
      <c r="E24" s="7">
        <f>SUMIF(Tabela1[Lote],ResumoLotesSUPERBID[[#This Row],[LOTES]],Tabela1[Valor Contábil Total])</f>
        <v>205985.84</v>
      </c>
      <c r="F24" s="7">
        <f>SUMIF(Tabela1[Lote],ResumoLotesSUPERBID[[#This Row],[LOTES]],Tabela1[VMA - Total])</f>
        <v>74154.898799999995</v>
      </c>
      <c r="G24" s="7">
        <f>SUMIF(Tabela1[Lote],ResumoLotesSUPERBID[[#This Row],[LOTES]],Tabela1[Valor total de Reposição])</f>
        <v>205985.83</v>
      </c>
      <c r="H24" s="13">
        <f>SUMIF(Tabela1[Lote],ResumoLotesSUPERBID[[#This Row],[LOTES]],Tabela1[Valor de Comparação com VMA])</f>
        <v>205985.84</v>
      </c>
      <c r="I24" s="14">
        <f>COUNTIF(Tabela1[Lote],ResumoLotesSUPERBID[[#This Row],[LOTES]])</f>
        <v>2</v>
      </c>
      <c r="J24" s="15">
        <f>ResumoLotesSUPERBID[[#This Row],[VMA Total do Lote]]/ResumoLotesSUPERBID[[#This Row],[Valor Comparação VMA do Lote]]</f>
        <v>0.35999998252307053</v>
      </c>
      <c r="K24" s="7">
        <f>IF(ResumoLotesSUPERBID[[#This Row],[VMA / Comparação]]&lt;0.05,ResumoLotesSUPERBID[[#This Row],[Valor Comparação VMA do Lote]]*0.01,IF(AND(ResumoLotesSUPERBID[[#This Row],[VMA / Comparação]]&gt;=0.05,ResumoLotesSUPERBID[[#This Row],[VMA / Comparação]]&lt;0.4),ResumoLotesSUPERBID[[#This Row],[Valor Comparação VMA do Lote]]*0.01,ResumoLotesSUPERBID[[#This Row],[Valor Comparação VMA do Lote]]*0.05))</f>
        <v>2059.8584000000001</v>
      </c>
      <c r="L24" s="53" t="str">
        <f>IF(AND(ResumoLotesSUPERBID[[#This Row],[TIPO DE AVALIAÇÃO]]="SOBRE_EMP",ResumoLotesSUPERBID[[#This Row],[Valor Total de Reposição do Lote]]&lt;=50000,ResumoLotesSUPERBID[[#This Row],[Lance de Partida]]&lt;=1000),"Envio para Sucata",IF(OR(ResumoLotesSUPERBID[[#This Row],[VMA / Comparação]]&lt;0.05,AND(ResumoLotesSUPERBID[[#This Row],[TIPO DE AVALIAÇÃO]]&lt;&gt;"SOBRE_EMP",ResumoLotesSUPERBID[[#This Row],[Valor Contábil Total do Lote]]&lt;=50000,ResumoLotesSUPERBID[[#This Row],[Lance de Partida]]&lt;1000)),"Envio para Sucata",IF(AND(ResumoLotesSUPERBID[[#This Row],[VMA / Comparação]]&gt;=0.05,ResumoLotesSUPERBID[[#This Row],[VMA / Comparação]]&lt;0.4),"1% do Valor de Comparação do VMA","5% do Valor de Comparação do VMA")))</f>
        <v>1% do Valor de Comparação do VMA</v>
      </c>
      <c r="M24" s="54" t="str">
        <f>IF(AND(ResumoLotesSUPERBID[[#This Row],[Descrição]]&lt;&gt;"Envio para Sucata",ResumoLotesSUPERBID[[#This Row],[Lance de Partida]]&gt;=$P$2,ResumoLotesSUPERBID[[#This Row],[Valor Comparação VMA do Lote]]&gt;=$Q$2,ResumoLotesSUPERBID[[#This Row],[Valor Contábil Total do Lote]]&gt;=$R$2),"Para Leilão","")</f>
        <v>Para Leilão</v>
      </c>
      <c r="N24" s="52"/>
    </row>
    <row r="25" spans="1:14" x14ac:dyDescent="0.25">
      <c r="A25" s="60" t="s">
        <v>33</v>
      </c>
      <c r="B25" s="60"/>
      <c r="C25" s="60"/>
      <c r="D25" s="60"/>
      <c r="E25" s="62">
        <f>SUBTOTAL(109,ResumoLotesSUPERBID[Valor Contábil Total do Lote])</f>
        <v>32639376.98</v>
      </c>
      <c r="F25" s="62">
        <f>SUBTOTAL(109,ResumoLotesSUPERBID[VMA Total do Lote])</f>
        <v>5598038.6703101033</v>
      </c>
      <c r="G25" s="62">
        <f>SUBTOTAL(109,ResumoLotesSUPERBID[Valor Total de Reposição do Lote])</f>
        <v>41242234.09875761</v>
      </c>
      <c r="H25" s="62">
        <f>SUBTOTAL(109,ResumoLotesSUPERBID[Valor Comparação VMA do Lote])</f>
        <v>42099244.959344454</v>
      </c>
      <c r="I25" s="62"/>
      <c r="J25" s="62"/>
      <c r="K25" s="62">
        <f>SUBTOTAL(109,ResumoLotesSUPERBID[Lance de Partida])</f>
        <v>420992.44959344441</v>
      </c>
      <c r="L25" s="61"/>
      <c r="M25" s="61"/>
      <c r="N25" s="61"/>
    </row>
    <row r="26" spans="1:14" x14ac:dyDescent="0.25">
      <c r="A26"/>
      <c r="B26"/>
      <c r="C26"/>
      <c r="D26"/>
      <c r="E26"/>
      <c r="F26"/>
      <c r="G26"/>
      <c r="H26"/>
      <c r="I26"/>
      <c r="J26"/>
      <c r="K26"/>
    </row>
    <row r="27" spans="1:14" x14ac:dyDescent="0.25">
      <c r="A27"/>
      <c r="B27"/>
      <c r="C27"/>
      <c r="D27"/>
      <c r="E27"/>
      <c r="F27"/>
      <c r="G27"/>
      <c r="H27"/>
      <c r="I27"/>
      <c r="J27"/>
      <c r="K27"/>
    </row>
    <row r="28" spans="1:14" x14ac:dyDescent="0.25">
      <c r="A28"/>
      <c r="B28"/>
      <c r="C28"/>
      <c r="D28"/>
      <c r="E28"/>
      <c r="F28"/>
      <c r="G28"/>
      <c r="H28"/>
      <c r="I28"/>
      <c r="J28"/>
      <c r="K28"/>
    </row>
    <row r="29" spans="1:14" x14ac:dyDescent="0.25">
      <c r="A29"/>
      <c r="B29"/>
      <c r="C29"/>
      <c r="D29"/>
      <c r="E29"/>
      <c r="F29"/>
      <c r="G29"/>
      <c r="H29"/>
      <c r="I29"/>
      <c r="J29"/>
      <c r="K29"/>
    </row>
    <row r="30" spans="1:14" x14ac:dyDescent="0.25">
      <c r="A30"/>
      <c r="B30"/>
      <c r="C30"/>
      <c r="D30"/>
      <c r="E30"/>
      <c r="F30"/>
      <c r="G30"/>
      <c r="H30"/>
      <c r="I30"/>
      <c r="J30"/>
      <c r="K30"/>
    </row>
    <row r="31" spans="1:14" x14ac:dyDescent="0.25">
      <c r="A31"/>
      <c r="B31"/>
      <c r="C31"/>
      <c r="D31"/>
      <c r="E31"/>
      <c r="F31"/>
      <c r="G31"/>
      <c r="H31"/>
      <c r="I31"/>
      <c r="J31"/>
      <c r="K31"/>
    </row>
    <row r="32" spans="1:14" x14ac:dyDescent="0.25">
      <c r="A32"/>
      <c r="B32"/>
      <c r="C32"/>
      <c r="D32"/>
      <c r="E32"/>
      <c r="F32"/>
      <c r="G32"/>
      <c r="H32"/>
      <c r="I32"/>
      <c r="J32"/>
      <c r="K32"/>
    </row>
    <row r="33" spans="1:11" x14ac:dyDescent="0.25">
      <c r="A33"/>
      <c r="B33"/>
      <c r="C33"/>
      <c r="D33"/>
      <c r="E33"/>
      <c r="F33"/>
      <c r="G33"/>
      <c r="H33"/>
      <c r="I33"/>
      <c r="J33"/>
      <c r="K33"/>
    </row>
    <row r="34" spans="1:11" x14ac:dyDescent="0.25">
      <c r="A34"/>
      <c r="B34"/>
      <c r="C34"/>
      <c r="D34"/>
      <c r="E34"/>
      <c r="F34"/>
      <c r="G34"/>
      <c r="H34"/>
      <c r="I34"/>
      <c r="J34"/>
      <c r="K34"/>
    </row>
    <row r="35" spans="1:11" x14ac:dyDescent="0.25">
      <c r="A35"/>
      <c r="B35"/>
      <c r="C35"/>
      <c r="D35"/>
      <c r="E35"/>
      <c r="F35"/>
      <c r="G35"/>
      <c r="H35"/>
      <c r="I35"/>
      <c r="J35"/>
      <c r="K35"/>
    </row>
    <row r="36" spans="1:11" x14ac:dyDescent="0.25">
      <c r="A36"/>
      <c r="B36"/>
      <c r="C36"/>
      <c r="D36"/>
      <c r="E36"/>
      <c r="F36"/>
      <c r="G36"/>
      <c r="H36"/>
      <c r="I36"/>
      <c r="J36"/>
      <c r="K36"/>
    </row>
    <row r="37" spans="1:11" x14ac:dyDescent="0.25">
      <c r="A37"/>
      <c r="B37"/>
      <c r="C37"/>
      <c r="D37"/>
      <c r="E37"/>
      <c r="F37"/>
      <c r="G37"/>
      <c r="H37"/>
      <c r="I37"/>
      <c r="J37"/>
      <c r="K37"/>
    </row>
    <row r="38" spans="1:11" x14ac:dyDescent="0.25">
      <c r="A38"/>
      <c r="B38"/>
      <c r="C38"/>
      <c r="D38"/>
      <c r="E38"/>
      <c r="F38"/>
      <c r="G38"/>
      <c r="H38"/>
      <c r="I38"/>
      <c r="J38"/>
      <c r="K38"/>
    </row>
    <row r="39" spans="1:11" x14ac:dyDescent="0.25">
      <c r="A39"/>
      <c r="B39"/>
      <c r="C39"/>
      <c r="D39"/>
      <c r="E39"/>
      <c r="F39"/>
      <c r="G39"/>
      <c r="H39"/>
      <c r="I39"/>
      <c r="J39"/>
      <c r="K39"/>
    </row>
    <row r="40" spans="1:11" x14ac:dyDescent="0.25">
      <c r="A40"/>
      <c r="B40"/>
      <c r="C40"/>
      <c r="D40"/>
      <c r="E40"/>
      <c r="F40"/>
      <c r="G40"/>
      <c r="H40"/>
      <c r="I40"/>
      <c r="J40"/>
      <c r="K40"/>
    </row>
    <row r="41" spans="1:11" x14ac:dyDescent="0.25">
      <c r="A41"/>
      <c r="B41"/>
      <c r="C41"/>
      <c r="D41"/>
      <c r="E41"/>
      <c r="F41"/>
      <c r="G41"/>
      <c r="H41"/>
      <c r="I41"/>
      <c r="J41"/>
      <c r="K41"/>
    </row>
    <row r="42" spans="1:11" x14ac:dyDescent="0.25">
      <c r="A42"/>
      <c r="B42"/>
      <c r="C42"/>
      <c r="D42"/>
      <c r="E42"/>
      <c r="F42"/>
      <c r="G42"/>
      <c r="H42"/>
      <c r="I42"/>
      <c r="J42"/>
      <c r="K42"/>
    </row>
    <row r="43" spans="1:11" x14ac:dyDescent="0.25">
      <c r="A43"/>
      <c r="B43"/>
      <c r="C43"/>
      <c r="D43"/>
      <c r="E43"/>
      <c r="F43"/>
      <c r="G43"/>
      <c r="H43"/>
      <c r="I43"/>
      <c r="J43"/>
      <c r="K43"/>
    </row>
    <row r="44" spans="1:11" x14ac:dyDescent="0.25">
      <c r="A44"/>
      <c r="B44"/>
      <c r="C44"/>
      <c r="D44"/>
      <c r="E44"/>
      <c r="F44"/>
      <c r="G44"/>
      <c r="H44"/>
      <c r="I44"/>
      <c r="J44"/>
      <c r="K44"/>
    </row>
    <row r="45" spans="1:11" x14ac:dyDescent="0.25">
      <c r="A45"/>
      <c r="B45"/>
      <c r="C45"/>
      <c r="D45"/>
      <c r="E45"/>
      <c r="F45"/>
      <c r="G45"/>
      <c r="H45"/>
      <c r="I45"/>
      <c r="J45"/>
      <c r="K45"/>
    </row>
    <row r="46" spans="1:11" x14ac:dyDescent="0.25">
      <c r="A46"/>
      <c r="B46"/>
      <c r="C46"/>
      <c r="D46"/>
      <c r="E46"/>
      <c r="F46"/>
      <c r="G46"/>
      <c r="H46"/>
      <c r="I46"/>
      <c r="J46"/>
      <c r="K46"/>
    </row>
    <row r="47" spans="1:11" x14ac:dyDescent="0.25">
      <c r="A47"/>
      <c r="B47"/>
      <c r="C47"/>
      <c r="D47"/>
      <c r="E47"/>
      <c r="F47"/>
      <c r="G47"/>
      <c r="H47"/>
      <c r="I47"/>
      <c r="J47"/>
      <c r="K47"/>
    </row>
    <row r="48" spans="1:11" x14ac:dyDescent="0.25">
      <c r="A48"/>
      <c r="B48"/>
      <c r="C48"/>
      <c r="D48"/>
      <c r="E48"/>
      <c r="F48"/>
      <c r="G48"/>
      <c r="H48"/>
      <c r="I48"/>
      <c r="J48"/>
      <c r="K48"/>
    </row>
    <row r="49" spans="1:11" x14ac:dyDescent="0.25">
      <c r="A49"/>
      <c r="B49"/>
      <c r="C49"/>
      <c r="D49"/>
      <c r="E49"/>
      <c r="F49"/>
      <c r="G49"/>
      <c r="H49"/>
      <c r="I49"/>
      <c r="J49"/>
      <c r="K49"/>
    </row>
    <row r="50" spans="1:11" x14ac:dyDescent="0.25">
      <c r="A50"/>
      <c r="B50"/>
      <c r="C50"/>
      <c r="D50"/>
      <c r="E50"/>
      <c r="F50"/>
      <c r="G50"/>
      <c r="H50"/>
      <c r="I50"/>
      <c r="J50"/>
      <c r="K50"/>
    </row>
    <row r="51" spans="1:11" x14ac:dyDescent="0.25">
      <c r="A51"/>
      <c r="B51"/>
      <c r="C51"/>
      <c r="D51"/>
      <c r="E51"/>
      <c r="F51"/>
      <c r="G51"/>
      <c r="H51"/>
      <c r="I51"/>
      <c r="J51"/>
      <c r="K51"/>
    </row>
    <row r="52" spans="1:11" x14ac:dyDescent="0.25">
      <c r="A52"/>
      <c r="B52"/>
      <c r="C52"/>
      <c r="D52"/>
      <c r="E52"/>
      <c r="F52"/>
      <c r="G52"/>
      <c r="H52"/>
      <c r="I52"/>
      <c r="J52"/>
      <c r="K52"/>
    </row>
    <row r="53" spans="1:11" x14ac:dyDescent="0.25">
      <c r="A53"/>
      <c r="B53"/>
      <c r="C53"/>
      <c r="D53"/>
      <c r="E53"/>
      <c r="F53"/>
      <c r="G53"/>
      <c r="H53"/>
      <c r="I53"/>
      <c r="J53"/>
      <c r="K53"/>
    </row>
    <row r="54" spans="1:11" x14ac:dyDescent="0.25">
      <c r="A54"/>
      <c r="B54"/>
      <c r="C54"/>
      <c r="D54"/>
      <c r="E54"/>
      <c r="F54"/>
      <c r="G54"/>
      <c r="H54"/>
      <c r="I54"/>
      <c r="J54"/>
      <c r="K54"/>
    </row>
    <row r="55" spans="1:11" x14ac:dyDescent="0.25">
      <c r="A55"/>
      <c r="B55"/>
      <c r="C55"/>
      <c r="D55"/>
      <c r="E55"/>
      <c r="F55"/>
      <c r="G55"/>
      <c r="H55"/>
      <c r="I55"/>
      <c r="J55"/>
      <c r="K55"/>
    </row>
    <row r="56" spans="1:11" x14ac:dyDescent="0.25">
      <c r="A56"/>
      <c r="B56"/>
      <c r="C56"/>
      <c r="D56"/>
      <c r="E56"/>
      <c r="F56"/>
      <c r="G56"/>
      <c r="H56"/>
      <c r="I56"/>
      <c r="J56"/>
      <c r="K56"/>
    </row>
    <row r="57" spans="1:11" x14ac:dyDescent="0.25">
      <c r="A57"/>
      <c r="B57"/>
      <c r="C57"/>
      <c r="D57"/>
      <c r="E57"/>
      <c r="F57"/>
      <c r="G57"/>
      <c r="H57"/>
      <c r="I57"/>
      <c r="J57"/>
      <c r="K57"/>
    </row>
    <row r="58" spans="1:11" x14ac:dyDescent="0.25">
      <c r="A58"/>
      <c r="B58"/>
      <c r="C58"/>
      <c r="D58"/>
      <c r="E58"/>
      <c r="F58"/>
      <c r="G58"/>
      <c r="H58"/>
      <c r="I58"/>
      <c r="J58"/>
      <c r="K58"/>
    </row>
    <row r="59" spans="1:11" x14ac:dyDescent="0.25">
      <c r="A59"/>
      <c r="B59"/>
      <c r="C59"/>
      <c r="D59"/>
      <c r="E59"/>
      <c r="F59"/>
      <c r="G59"/>
      <c r="H59"/>
      <c r="I59"/>
      <c r="J59"/>
      <c r="K59"/>
    </row>
    <row r="60" spans="1:11" x14ac:dyDescent="0.25">
      <c r="A60"/>
      <c r="B60"/>
      <c r="C60"/>
      <c r="D60"/>
      <c r="E60"/>
      <c r="F60"/>
      <c r="G60"/>
      <c r="H60"/>
      <c r="I60"/>
      <c r="J60"/>
      <c r="K60"/>
    </row>
    <row r="61" spans="1:11" x14ac:dyDescent="0.25">
      <c r="A61"/>
      <c r="B61"/>
      <c r="C61"/>
      <c r="D61"/>
      <c r="E61"/>
      <c r="F61"/>
      <c r="G61"/>
      <c r="H61"/>
      <c r="I61"/>
      <c r="J61"/>
      <c r="K61"/>
    </row>
    <row r="62" spans="1:11" x14ac:dyDescent="0.25">
      <c r="A62"/>
      <c r="B62"/>
      <c r="C62"/>
      <c r="D62"/>
      <c r="E62"/>
      <c r="F62"/>
      <c r="G62"/>
      <c r="H62"/>
      <c r="I62"/>
      <c r="J62"/>
      <c r="K62"/>
    </row>
    <row r="63" spans="1:11" x14ac:dyDescent="0.25">
      <c r="A63"/>
      <c r="B63"/>
      <c r="C63"/>
      <c r="D63"/>
      <c r="E63"/>
      <c r="F63"/>
      <c r="G63"/>
      <c r="H63"/>
      <c r="I63"/>
      <c r="J63"/>
      <c r="K63"/>
    </row>
    <row r="64" spans="1:11" x14ac:dyDescent="0.25">
      <c r="A64"/>
      <c r="B64"/>
      <c r="C64"/>
      <c r="D64"/>
      <c r="E64"/>
      <c r="F64"/>
      <c r="G64"/>
      <c r="H64"/>
      <c r="I64"/>
      <c r="J64"/>
      <c r="K64"/>
    </row>
    <row r="65" spans="1:11" x14ac:dyDescent="0.25">
      <c r="A65"/>
      <c r="B65"/>
      <c r="C65"/>
      <c r="D65"/>
      <c r="E65"/>
      <c r="F65"/>
      <c r="G65"/>
      <c r="H65"/>
      <c r="I65"/>
      <c r="J65"/>
      <c r="K65"/>
    </row>
    <row r="66" spans="1:11" x14ac:dyDescent="0.25">
      <c r="A66"/>
      <c r="B66"/>
      <c r="C66"/>
      <c r="D66"/>
      <c r="E66"/>
      <c r="F66"/>
      <c r="G66"/>
      <c r="H66"/>
      <c r="I66"/>
      <c r="J66"/>
      <c r="K66"/>
    </row>
    <row r="67" spans="1:11" x14ac:dyDescent="0.25">
      <c r="A67"/>
      <c r="B67"/>
      <c r="C67"/>
      <c r="D67"/>
      <c r="E67"/>
      <c r="F67"/>
      <c r="G67"/>
      <c r="H67"/>
      <c r="I67"/>
      <c r="J67"/>
      <c r="K67"/>
    </row>
    <row r="68" spans="1:11" x14ac:dyDescent="0.25">
      <c r="A68"/>
      <c r="B68"/>
      <c r="C68"/>
      <c r="D68"/>
      <c r="E68"/>
      <c r="F68"/>
      <c r="G68"/>
      <c r="H68"/>
      <c r="I68"/>
      <c r="J68"/>
      <c r="K68"/>
    </row>
    <row r="69" spans="1:11" x14ac:dyDescent="0.25">
      <c r="A69"/>
      <c r="B69"/>
      <c r="C69"/>
      <c r="D69"/>
      <c r="E69"/>
      <c r="F69"/>
      <c r="G69"/>
      <c r="H69"/>
      <c r="I69"/>
      <c r="J69"/>
      <c r="K69"/>
    </row>
    <row r="70" spans="1:11" x14ac:dyDescent="0.25">
      <c r="A70"/>
      <c r="B70"/>
      <c r="C70"/>
      <c r="D70"/>
      <c r="E70"/>
      <c r="F70"/>
      <c r="G70"/>
      <c r="H70"/>
      <c r="I70"/>
      <c r="J70"/>
      <c r="K70"/>
    </row>
    <row r="71" spans="1:11" x14ac:dyDescent="0.25">
      <c r="A71"/>
      <c r="B71"/>
      <c r="C71"/>
      <c r="D71"/>
      <c r="E71"/>
      <c r="F71"/>
      <c r="G71"/>
      <c r="H71"/>
      <c r="I71"/>
      <c r="J71"/>
      <c r="K71"/>
    </row>
    <row r="72" spans="1:11" x14ac:dyDescent="0.25">
      <c r="A72"/>
      <c r="B72"/>
      <c r="C72"/>
      <c r="D72"/>
      <c r="E72"/>
      <c r="F72"/>
      <c r="G72"/>
      <c r="H72"/>
      <c r="I72"/>
      <c r="J72"/>
      <c r="K72"/>
    </row>
    <row r="73" spans="1:11" x14ac:dyDescent="0.25">
      <c r="A73"/>
      <c r="B73"/>
      <c r="C73"/>
      <c r="D73"/>
      <c r="E73"/>
      <c r="F73"/>
      <c r="G73"/>
      <c r="H73"/>
      <c r="I73"/>
      <c r="J73"/>
      <c r="K73"/>
    </row>
    <row r="74" spans="1:11" x14ac:dyDescent="0.25">
      <c r="A74"/>
      <c r="B74"/>
      <c r="C74"/>
      <c r="D74"/>
      <c r="E74"/>
      <c r="F74"/>
      <c r="G74"/>
      <c r="H74"/>
      <c r="I74"/>
      <c r="J74"/>
      <c r="K74"/>
    </row>
    <row r="75" spans="1:11" x14ac:dyDescent="0.25">
      <c r="A75"/>
      <c r="B75"/>
      <c r="C75"/>
      <c r="D75"/>
      <c r="E75"/>
      <c r="F75"/>
      <c r="G75"/>
      <c r="H75"/>
      <c r="I75"/>
      <c r="J75"/>
      <c r="K75"/>
    </row>
    <row r="76" spans="1:11" x14ac:dyDescent="0.25">
      <c r="A76"/>
      <c r="B76"/>
      <c r="C76"/>
      <c r="D76"/>
      <c r="E76"/>
      <c r="F76"/>
      <c r="G76"/>
      <c r="H76"/>
      <c r="I76"/>
      <c r="J76"/>
      <c r="K76"/>
    </row>
    <row r="77" spans="1:11" x14ac:dyDescent="0.25">
      <c r="A77"/>
      <c r="B77"/>
      <c r="C77"/>
      <c r="D77"/>
      <c r="E77"/>
      <c r="F77"/>
      <c r="G77"/>
      <c r="H77"/>
      <c r="I77"/>
      <c r="J77"/>
      <c r="K77"/>
    </row>
    <row r="78" spans="1:11" x14ac:dyDescent="0.25">
      <c r="A78"/>
      <c r="B78"/>
      <c r="C78"/>
      <c r="D78"/>
      <c r="E78"/>
      <c r="F78"/>
      <c r="G78"/>
      <c r="H78"/>
      <c r="I78"/>
      <c r="J78"/>
      <c r="K78"/>
    </row>
    <row r="79" spans="1:11" x14ac:dyDescent="0.25">
      <c r="A79"/>
      <c r="B79"/>
      <c r="C79"/>
      <c r="D79"/>
      <c r="E79"/>
      <c r="F79"/>
      <c r="G79"/>
      <c r="H79"/>
      <c r="I79"/>
      <c r="J79"/>
      <c r="K79"/>
    </row>
    <row r="80" spans="1:11" x14ac:dyDescent="0.25">
      <c r="A80"/>
      <c r="B80"/>
      <c r="C80"/>
      <c r="D80"/>
      <c r="E80"/>
      <c r="F80"/>
      <c r="G80"/>
      <c r="H80"/>
      <c r="I80"/>
      <c r="J80"/>
      <c r="K80"/>
    </row>
    <row r="81" spans="1:11" x14ac:dyDescent="0.25">
      <c r="A81"/>
      <c r="B81"/>
      <c r="C81"/>
      <c r="D81"/>
      <c r="E81"/>
      <c r="F81"/>
      <c r="G81"/>
      <c r="H81"/>
      <c r="I81"/>
      <c r="J81"/>
      <c r="K81"/>
    </row>
    <row r="82" spans="1:11" x14ac:dyDescent="0.25">
      <c r="A82"/>
      <c r="B82"/>
      <c r="C82"/>
      <c r="D82"/>
      <c r="E82"/>
      <c r="F82"/>
      <c r="G82"/>
      <c r="H82"/>
      <c r="I82"/>
      <c r="J82"/>
      <c r="K82"/>
    </row>
    <row r="83" spans="1:11" x14ac:dyDescent="0.25">
      <c r="A83"/>
      <c r="B83"/>
      <c r="C83"/>
      <c r="D83"/>
      <c r="E83"/>
      <c r="F83"/>
      <c r="G83"/>
      <c r="H83"/>
      <c r="I83"/>
      <c r="J83"/>
      <c r="K83"/>
    </row>
    <row r="84" spans="1:11" x14ac:dyDescent="0.25">
      <c r="A84"/>
      <c r="B84"/>
      <c r="C84"/>
      <c r="D84"/>
      <c r="E84"/>
      <c r="F84"/>
      <c r="G84"/>
      <c r="H84"/>
      <c r="I84"/>
      <c r="J84"/>
      <c r="K84"/>
    </row>
    <row r="85" spans="1:11" x14ac:dyDescent="0.25">
      <c r="A85"/>
      <c r="B85"/>
      <c r="C85"/>
      <c r="D85"/>
      <c r="E85"/>
      <c r="F85"/>
      <c r="G85"/>
      <c r="H85"/>
      <c r="I85"/>
      <c r="J85"/>
      <c r="K85"/>
    </row>
    <row r="86" spans="1:11" x14ac:dyDescent="0.25">
      <c r="A86"/>
      <c r="B86"/>
      <c r="C86"/>
      <c r="D86"/>
      <c r="E86"/>
      <c r="F86"/>
      <c r="G86"/>
      <c r="H86"/>
      <c r="I86"/>
      <c r="J86"/>
      <c r="K86"/>
    </row>
    <row r="87" spans="1:11" x14ac:dyDescent="0.25">
      <c r="A87"/>
      <c r="B87"/>
      <c r="C87"/>
      <c r="D87"/>
      <c r="E87"/>
      <c r="F87"/>
      <c r="G87"/>
      <c r="H87"/>
      <c r="I87"/>
      <c r="J87"/>
      <c r="K87"/>
    </row>
    <row r="88" spans="1:11" x14ac:dyDescent="0.25">
      <c r="A88"/>
      <c r="B88"/>
      <c r="C88"/>
      <c r="D88"/>
      <c r="E88"/>
      <c r="F88"/>
      <c r="G88"/>
      <c r="H88"/>
      <c r="I88"/>
      <c r="J88"/>
      <c r="K88"/>
    </row>
    <row r="89" spans="1:11" x14ac:dyDescent="0.25">
      <c r="A89"/>
      <c r="B89"/>
      <c r="C89"/>
      <c r="D89"/>
      <c r="E89"/>
      <c r="F89"/>
      <c r="G89"/>
      <c r="H89"/>
      <c r="I89"/>
      <c r="J89"/>
      <c r="K89"/>
    </row>
    <row r="90" spans="1:11" x14ac:dyDescent="0.25">
      <c r="A90"/>
      <c r="B90"/>
      <c r="C90"/>
      <c r="D90"/>
      <c r="E90"/>
      <c r="F90"/>
      <c r="G90"/>
      <c r="H90"/>
      <c r="I90"/>
      <c r="J90"/>
      <c r="K90"/>
    </row>
    <row r="91" spans="1:11" x14ac:dyDescent="0.25">
      <c r="A91"/>
      <c r="B91"/>
      <c r="C91"/>
      <c r="D91"/>
      <c r="E91"/>
      <c r="F91"/>
      <c r="G91"/>
      <c r="H91"/>
      <c r="I91"/>
      <c r="J91"/>
      <c r="K91"/>
    </row>
    <row r="92" spans="1:11" x14ac:dyDescent="0.25">
      <c r="A92"/>
      <c r="B92"/>
      <c r="C92"/>
      <c r="D92"/>
      <c r="E92"/>
      <c r="F92"/>
      <c r="G92"/>
      <c r="H92"/>
      <c r="I92"/>
      <c r="J92"/>
      <c r="K92"/>
    </row>
    <row r="93" spans="1:11" x14ac:dyDescent="0.25">
      <c r="A93"/>
      <c r="B93"/>
      <c r="C93"/>
      <c r="D93"/>
      <c r="E93"/>
      <c r="F93"/>
      <c r="G93"/>
      <c r="H93"/>
      <c r="I93"/>
      <c r="J93"/>
      <c r="K93"/>
    </row>
    <row r="94" spans="1:11" x14ac:dyDescent="0.25">
      <c r="A94"/>
      <c r="B94"/>
      <c r="C94"/>
      <c r="D94"/>
      <c r="E94"/>
      <c r="F94"/>
      <c r="G94"/>
      <c r="H94"/>
      <c r="I94"/>
      <c r="J94"/>
      <c r="K94"/>
    </row>
    <row r="95" spans="1:11" x14ac:dyDescent="0.25">
      <c r="A95"/>
      <c r="B95"/>
      <c r="C95"/>
      <c r="D95"/>
      <c r="E95"/>
      <c r="F95"/>
      <c r="G95"/>
      <c r="H95"/>
      <c r="I95"/>
      <c r="J95"/>
      <c r="K95"/>
    </row>
    <row r="96" spans="1:11" x14ac:dyDescent="0.25">
      <c r="A96"/>
      <c r="B96"/>
      <c r="C96"/>
      <c r="D96"/>
      <c r="E96"/>
      <c r="F96"/>
      <c r="G96"/>
      <c r="H96"/>
      <c r="I96"/>
      <c r="J96"/>
      <c r="K96"/>
    </row>
    <row r="97" spans="1:11" x14ac:dyDescent="0.25">
      <c r="A97"/>
      <c r="B97"/>
      <c r="C97"/>
      <c r="D97"/>
      <c r="E97"/>
      <c r="F97"/>
      <c r="G97"/>
      <c r="H97"/>
      <c r="I97"/>
      <c r="J97"/>
      <c r="K97"/>
    </row>
    <row r="98" spans="1:11" x14ac:dyDescent="0.25">
      <c r="A98"/>
      <c r="B98"/>
      <c r="C98"/>
      <c r="D98"/>
      <c r="E98"/>
      <c r="F98"/>
      <c r="G98"/>
      <c r="H98"/>
      <c r="I98"/>
      <c r="J98"/>
      <c r="K98"/>
    </row>
    <row r="99" spans="1:11" x14ac:dyDescent="0.25">
      <c r="A99"/>
      <c r="B99"/>
      <c r="C99"/>
      <c r="D99"/>
      <c r="E99"/>
      <c r="F99"/>
      <c r="G99"/>
      <c r="H99"/>
      <c r="I99"/>
      <c r="J99"/>
      <c r="K99"/>
    </row>
    <row r="100" spans="1:11" x14ac:dyDescent="0.25">
      <c r="A100"/>
      <c r="B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B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B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B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B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B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B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B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B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B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B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B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B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B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B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B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B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B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B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B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B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B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B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B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B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B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B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B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B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B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B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B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B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B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B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B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B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B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B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B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B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B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B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B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B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B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B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B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B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B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B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B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B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B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B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B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B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B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B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B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B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B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x14ac:dyDescent="0.25">
      <c r="A684"/>
      <c r="B684"/>
      <c r="C684"/>
      <c r="D684"/>
      <c r="E684"/>
      <c r="F684"/>
      <c r="G684"/>
      <c r="H684"/>
      <c r="I684"/>
      <c r="J684"/>
      <c r="K684"/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LISTA DOS ITENS</vt:lpstr>
      <vt:lpstr>SOBRE_EMP</vt:lpstr>
      <vt:lpstr>RESUMO - LOTES E VMA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Aristeu de Covas Santos</dc:creator>
  <cp:lastModifiedBy>William Silva</cp:lastModifiedBy>
  <dcterms:created xsi:type="dcterms:W3CDTF">2020-04-16T00:26:54Z</dcterms:created>
  <dcterms:modified xsi:type="dcterms:W3CDTF">2021-06-15T19:35:19Z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aristeudecovas@petrobras.com.br</vt:lpwstr>
  </property>
  <property fmtid="{D5CDD505-2E9C-101B-9397-08002B2CF9AE}" pid="5" name="MSIP_Label_8e61996e-cafd-4c9a-8a94-2dc1b82131ae_SetDate">
    <vt:lpwstr>2020-04-16T00:51:58.5396009Z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f36fab8e-b9b9-4832-92c9-b6dcd61c69a8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